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6a3e7baeffcee0/Documents/"/>
    </mc:Choice>
  </mc:AlternateContent>
  <xr:revisionPtr revIDLastSave="0" documentId="8_{25A8B180-4406-4220-AE94-3D5153AA3551}" xr6:coauthVersionLast="47" xr6:coauthVersionMax="47" xr10:uidLastSave="{00000000-0000-0000-0000-000000000000}"/>
  <bookViews>
    <workbookView xWindow="-108" yWindow="-108" windowWidth="23256" windowHeight="13896" tabRatio="500" firstSheet="1" activeTab="2" xr2:uid="{00000000-000D-0000-FFFF-FFFF00000000}"/>
  </bookViews>
  <sheets>
    <sheet name="1. Assessment Overview" sheetId="1" r:id="rId1"/>
    <sheet name="2. Gap Assessment" sheetId="2" r:id="rId2"/>
    <sheet name="3. Remediation Roadmap" sheetId="3" r:id="rId3"/>
    <sheet name="4. Executive Dashboard" sheetId="4" r:id="rId4"/>
  </sheets>
  <definedNames>
    <definedName name="_xlnm._FilterDatabase" localSheetId="1" hidden="1">'2. Gap Assessment'!$A$4:$H$55</definedName>
    <definedName name="_xlnm._FilterDatabase" localSheetId="2" hidden="1">'3. Remediation Roadmap'!$A$4:$G$37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4" l="1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<sst xmlns="http://schemas.openxmlformats.org/spreadsheetml/2006/main" count="729" uniqueCount="393">
  <si>
    <t>NIS2 Gap Assessment — HealthNet Ireland Ltd</t>
  </si>
  <si>
    <t>Directive (EU) 2022/2555 | Assessment date: July 2026 | Assessor: GRC Analyst | Status: Final Draft v1.0</t>
  </si>
  <si>
    <t>COMPANY PROFILE</t>
  </si>
  <si>
    <t>Company</t>
  </si>
  <si>
    <t>HealthNet Ireland Ltd (fictional entity for portfolio purposes)</t>
  </si>
  <si>
    <t>Location</t>
  </si>
  <si>
    <t>Dublin, Ireland</t>
  </si>
  <si>
    <t>Headcount / Turnover</t>
  </si>
  <si>
    <t>200 employees / approx. €30M annual turnover — still a MEDIUM-sized enterprise per EU Recommendation 2003/361/EC (large = 250+ staff or &gt;€50M turnover)</t>
  </si>
  <si>
    <t>Business</t>
  </si>
  <si>
    <t>Cloud-based patient management and e-referral SaaS platform; managed ICT services to Irish hospitals and GP clinics</t>
  </si>
  <si>
    <t>Key dependencies</t>
  </si>
  <si>
    <t>AWS (eu-west-1, Dublin) hosting; HSE integration endpoints; 3 critical software suppliers</t>
  </si>
  <si>
    <t>NIS2 CLASSIFICATION</t>
  </si>
  <si>
    <t>Sector</t>
  </si>
  <si>
    <t>ICT service management (B2B) — Annex I, Sector 8 (managed service provider); services critical to the health sector (Annex I, Sector 5 customers)</t>
  </si>
  <si>
    <t>Entity type</t>
  </si>
  <si>
    <t>IMPORTANT ENTITY — Annex I sector but medium-sized (200 staff / €30M is below the 250 staff / €50M large-enterprise threshold), therefore not an essential entity under Art. 3</t>
  </si>
  <si>
    <t>Classification rationale</t>
  </si>
  <si>
    <t>Sector determines scope; size determines essential vs important. As an important entity HealthNet faces ex-post supervision (Art. 33) and fines up to €7M or 1.4% of worldwide turnover (Art. 34(5)), but the Art. 21 security measures and Art. 23 reporting obligations apply in full.</t>
  </si>
  <si>
    <t>Competent authority (IE)</t>
  </si>
  <si>
    <t>NCSC Ireland (lead competent authority); ComReg designated for ICT service management sector under the draft National Cyber Security Bill. CSIRT-IE receives incident notifications.</t>
  </si>
  <si>
    <t>Irish transposition status</t>
  </si>
  <si>
    <t>National Cyber Security Bill (General Scheme published 30 Aug 2024) progressing through the Oireachtas as of mid-2026; EU transposition deadline of 17 Oct 2024 missed and infringement proceedings opened. Directive obligations should be treated as imminent; NCSC guidance (incl. draft Risk Management Measures and the CyFun framework) already published.</t>
  </si>
  <si>
    <t>SCOPE &amp; METHODOLOGY</t>
  </si>
  <si>
    <t>Scope</t>
  </si>
  <si>
    <t>All information systems supporting the SaaS platform, managed services operation, and corporate IT. Assessed against Art. 20 (governance), Art. 21(2)(a)-(j) (risk management measures), Art. 23 (incident reporting) and registration obligations.</t>
  </si>
  <si>
    <t>Method</t>
  </si>
  <si>
    <t>Requirements decomposed into 51 assessable statements. Evidence gathered via (simulated) document review, staff interviews and technical configuration review. Each requirement rated for conformance and residual risk.</t>
  </si>
  <si>
    <t>Rating scale</t>
  </si>
  <si>
    <t>Compliant = requirement fully met with evidence | Partially Compliant = measure exists but incomplete, informal or unevidenced | Non-Compliant = no meaningful measure in place</t>
  </si>
  <si>
    <t>Risk rating</t>
  </si>
  <si>
    <t>High = gap exposes HealthNet to significant regulatory, operational or patient-safety impact | Medium = material weakness, compensating controls exist | Low = minor / documentation-level gap</t>
  </si>
  <si>
    <t>RELATED PROJECTS</t>
  </si>
  <si>
    <t>Cross-reference</t>
  </si>
  <si>
    <t>ISO 27001:2022 ISMS pack (Project 1, TechBridge Solutions) — ISO 27001 is increasingly recognised across the EU as the foundation for evidencing NIS2 compliance; control references included in the remediation roadmap.</t>
  </si>
  <si>
    <t>NIS2 Gap Assessment Register — HealthNet Ireland Ltd</t>
  </si>
  <si>
    <t>51 requirements decomposed from Art. 20, Art. 21(2)(a)-(j), Art. 23 and registration obligations</t>
  </si>
  <si>
    <t>Ref</t>
  </si>
  <si>
    <t>NIS2 Article</t>
  </si>
  <si>
    <t>Domain</t>
  </si>
  <si>
    <t>Requirement</t>
  </si>
  <si>
    <t>Current State (Evidence Observed)</t>
  </si>
  <si>
    <t>Status</t>
  </si>
  <si>
    <t>Risk</t>
  </si>
  <si>
    <t>Gap Description</t>
  </si>
  <si>
    <t>GOV-01</t>
  </si>
  <si>
    <t>Art. 20(1)</t>
  </si>
  <si>
    <t>Governance &amp; Accountability</t>
  </si>
  <si>
    <t>Management board formally approves the cybersecurity risk-management measures.</t>
  </si>
  <si>
    <t>Cybersecurity is delegated entirely to the IT Manager; the board has never formally approved the risk-management measures or recorded such approval in minutes.</t>
  </si>
  <si>
    <t>Non-Compliant</t>
  </si>
  <si>
    <t>High</t>
  </si>
  <si>
    <t>No documented board approval. Under the Irish NCSB General Scheme (Head 28) and Head 43 personal liability provisions, directors face direct exposure.</t>
  </si>
  <si>
    <t>GOV-02</t>
  </si>
  <si>
    <t>Management board oversees implementation of the measures and can be held accountable.</t>
  </si>
  <si>
    <t>Quarterly IT report to the board covers uptime and budget only; no cyber risk KPIs or oversight mechanism.</t>
  </si>
  <si>
    <t>No board-level oversight of cyber risk; no cyber items on standing board agenda.</t>
  </si>
  <si>
    <t>GOV-03</t>
  </si>
  <si>
    <t>Art. 20(2)</t>
  </si>
  <si>
    <t>Members of the management board follow cybersecurity training.</t>
  </si>
  <si>
    <t>CEO attended one NCSC webinar in 2025; no structured board training programme.</t>
  </si>
  <si>
    <t>Partially Compliant</t>
  </si>
  <si>
    <t>Medium</t>
  </si>
  <si>
    <t>Ad-hoc awareness only; no regular, documented board training as required.</t>
  </si>
  <si>
    <t>GOV-04</t>
  </si>
  <si>
    <t>Equivalent training is offered to employees on a regular basis.</t>
  </si>
  <si>
    <t>Annual security e-learning assigned to all staff; 78% completion rate, no follow-up for non-completers.</t>
  </si>
  <si>
    <t>Training exists but completion is not enforced or role-tailored.</t>
  </si>
  <si>
    <t>RSK-01</t>
  </si>
  <si>
    <t>Art. 21(2)(a)</t>
  </si>
  <si>
    <t>Risk Analysis &amp; Policies</t>
  </si>
  <si>
    <t>A documented information security policy exists, approved by management.</t>
  </si>
  <si>
    <t>Information Security Policy v2.1 exists, signed by the CEO in 2024, but not reviewed since.</t>
  </si>
  <si>
    <t>Low</t>
  </si>
  <si>
    <t>Policy overdue for annual review; no defined review cycle.</t>
  </si>
  <si>
    <t>RSK-02</t>
  </si>
  <si>
    <t>A formal, repeatable risk assessment methodology is defined and applied.</t>
  </si>
  <si>
    <t>Risks discussed informally at IT team meetings; no methodology, criteria or risk register.</t>
  </si>
  <si>
    <t>No risk assessment process — the foundational Art. 21 requirement. All other measures should be proportionate to assessed risk.</t>
  </si>
  <si>
    <t>RSK-03</t>
  </si>
  <si>
    <t>A maintained risk register with owners, scores and treatment decisions exists.</t>
  </si>
  <si>
    <t>No risk register exists.</t>
  </si>
  <si>
    <t>No visibility of the organisation's risk position; nothing to evidence 'proportionality' to a regulator.</t>
  </si>
  <si>
    <t>RSK-04</t>
  </si>
  <si>
    <t>An all-hazards approach is taken (physical, environmental and cyber threats considered).</t>
  </si>
  <si>
    <t>Assessments (informal) consider cyber threats only; physical security of the office server room never reviewed.</t>
  </si>
  <si>
    <t>NIS2 Art. 21(1) explicitly requires an all-hazards approach including physical resilience.</t>
  </si>
  <si>
    <t>INC-01</t>
  </si>
  <si>
    <t>Art. 21(2)(b)</t>
  </si>
  <si>
    <t>Incident Handling</t>
  </si>
  <si>
    <t>A documented incident response plan/procedure exists.</t>
  </si>
  <si>
    <t>No incident response plan or procedure of any kind; staff would improvise if an attack occurred.</t>
  </si>
  <si>
    <t>No IR plan at all: no severity classification (P1-P4), no roles, no playbooks. In a real incident, decisions would be made under panic with no structure.</t>
  </si>
  <si>
    <t>INC-02</t>
  </si>
  <si>
    <t>Incidents are detected, logged and tracked through to resolution.</t>
  </si>
  <si>
    <t>Helpdesk tickets capture some incidents; no central security incident log; no SIEM.</t>
  </si>
  <si>
    <t>Detection capability limited to endpoint AV alerts; no centralised logging or monitoring of the SaaS platform.</t>
  </si>
  <si>
    <t>INC-03</t>
  </si>
  <si>
    <t>Roles and responsibilities during an incident are defined (incl. out-of-hours).</t>
  </si>
  <si>
    <t>IT Manager is the single point of contact; no deputy, no out-of-hours rota.</t>
  </si>
  <si>
    <t>Single point of failure for incident command; no 24/7 contact path despite hospital customers operating 24/7.</t>
  </si>
  <si>
    <t>INC-04</t>
  </si>
  <si>
    <t>Incident response is tested (tabletop or simulation) at least annually.</t>
  </si>
  <si>
    <t>Never tested.</t>
  </si>
  <si>
    <t>No exercises conducted; response capability unproven.</t>
  </si>
  <si>
    <t>INC-05</t>
  </si>
  <si>
    <t>Post-incident reviews capture lessons learned and drive improvement.</t>
  </si>
  <si>
    <t>Major 2025 phishing incident closed with no PIR or corrective actions recorded.</t>
  </si>
  <si>
    <t>No PIR process; repeated incidents likely.</t>
  </si>
  <si>
    <t>BCM-01</t>
  </si>
  <si>
    <t>Art. 21(2)(c)</t>
  </si>
  <si>
    <t>Business Continuity &amp; Backup</t>
  </si>
  <si>
    <t>Backup policy defines scope, frequency and retention for critical systems.</t>
  </si>
  <si>
    <t>Nightly automated backups of production databases to a second AWS region; retention 30 days; documented.</t>
  </si>
  <si>
    <t>Compliant</t>
  </si>
  <si>
    <t>No gap — verify retention meets customer contractual requirements.</t>
  </si>
  <si>
    <t>BCM-02</t>
  </si>
  <si>
    <t>Backups follow good practice (offline/immutable copy; 3-2-1 principle) and restores are tested.</t>
  </si>
  <si>
    <t>Backups exist in two AWS regions under the same account/credentials; restore tested once in 2024.</t>
  </si>
  <si>
    <t>No logically separated or immutable copy — a compromised AWS account could destroy all copies. Restore testing not scheduled.</t>
  </si>
  <si>
    <t>BCM-03</t>
  </si>
  <si>
    <t>A business continuity / disaster recovery plan exists with defined RTO/RPO.</t>
  </si>
  <si>
    <t>Draft DR plan from 2023 never finalised; no RTO/RPO agreed with the business or customers.</t>
  </si>
  <si>
    <t>No approved BC/DR plan; recovery objectives undefined for a platform hospitals depend on.</t>
  </si>
  <si>
    <t>BCM-04</t>
  </si>
  <si>
    <t>Crisis management arrangements exist (roles, communications, decision authority).</t>
  </si>
  <si>
    <t>None.</t>
  </si>
  <si>
    <t>No crisis management structure distinct from technical incident response.</t>
  </si>
  <si>
    <t>BCM-05</t>
  </si>
  <si>
    <t>BC/DR arrangements are tested periodically.</t>
  </si>
  <si>
    <t>Untested recovery — failover to second region has never been exercised.</t>
  </si>
  <si>
    <t>SCM-01</t>
  </si>
  <si>
    <t>Art. 21(2)(d)</t>
  </si>
  <si>
    <t>Supply Chain Security</t>
  </si>
  <si>
    <t>Critical suppliers and service providers are identified and inventoried.</t>
  </si>
  <si>
    <t>Finance holds a vendor list for invoicing; no criticality assessment.</t>
  </si>
  <si>
    <t>Supplier inventory exists but is not risk-ranked; critical ICT suppliers not distinguished.</t>
  </si>
  <si>
    <t>SCM-02</t>
  </si>
  <si>
    <t>Security requirements are addressed in supplier contracts (incl. incident notification clauses).</t>
  </si>
  <si>
    <t>Standard contracts contain confidentiality clauses only; no security schedules, audit rights or breach notification SLAs.</t>
  </si>
  <si>
    <t>No contractual flow-down of security requirements. NIS2 customers (hospitals/HSE) are simultaneously pushing requirements down to HealthNet — asymmetric exposure.</t>
  </si>
  <si>
    <t>SCM-03</t>
  </si>
  <si>
    <t>Supplier security is assessed before onboarding and periodically thereafter (TPRM).</t>
  </si>
  <si>
    <t>No due-diligence questionnaire or review process.</t>
  </si>
  <si>
    <t>No third-party risk management process for direct suppliers.</t>
  </si>
  <si>
    <t>SCM-04</t>
  </si>
  <si>
    <t>Vulnerabilities specific to individual suppliers and overall supply-chain quality are considered in risk assessments.</t>
  </si>
  <si>
    <t>Not considered (no risk assessment process exists — see RSK-02).</t>
  </si>
  <si>
    <t>Supply-chain risk absent from (non-existent) risk process; dependency on 3 critical software suppliers unanalysed.</t>
  </si>
  <si>
    <t>SDA-01</t>
  </si>
  <si>
    <t>Art. 21(2)(e)</t>
  </si>
  <si>
    <t>Secure Development &amp; Vulnerability Handling</t>
  </si>
  <si>
    <t>Security requirements are defined for acquisition and development of systems.</t>
  </si>
  <si>
    <t>Developers follow informal peer review; no secure coding standard or security requirements in the SDLC.</t>
  </si>
  <si>
    <t>No documented secure development lifecycle for a company whose product IS software.</t>
  </si>
  <si>
    <t>SDA-02</t>
  </si>
  <si>
    <t>Vulnerability management: systems are scanned and patched within defined timescales.</t>
  </si>
  <si>
    <t>Monthly OS patching via AWS SSM; no authenticated vulnerability scanning of the application or infrastructure.</t>
  </si>
  <si>
    <t>Patching exists but no scanning means unknown exposure; no defined remediation SLAs by severity (e.g. CVSS-based).</t>
  </si>
  <si>
    <t>SDA-03</t>
  </si>
  <si>
    <t>A coordinated vulnerability disclosure process exists (external researchers can report).</t>
  </si>
  <si>
    <t>No security.txt, no disclosure policy, no published contact.</t>
  </si>
  <si>
    <t>No CVD channel — explicitly referenced in NIS2 recitals and Irish NCSC guidance.</t>
  </si>
  <si>
    <t>SDA-04</t>
  </si>
  <si>
    <t>Penetration testing of the platform is performed periodically.</t>
  </si>
  <si>
    <t>One customer-mandated pentest in 2024; criticals fixed, mediums still open.</t>
  </si>
  <si>
    <t>Testing reactive (customer-driven), not scheduled; known medium findings unremediated for 18+ months.</t>
  </si>
  <si>
    <t>EFF-01</t>
  </si>
  <si>
    <t>Art. 21(2)(f)</t>
  </si>
  <si>
    <t>Effectiveness Assessment</t>
  </si>
  <si>
    <t>Policies and procedures exist to assess the effectiveness of risk-management measures.</t>
  </si>
  <si>
    <t>None — no internal audit, no control testing, no KPIs.</t>
  </si>
  <si>
    <t>No mechanism to know whether any control actually works; Art. 21(2)(f) is frequently overlooked by SMEs.</t>
  </si>
  <si>
    <t>EFF-02</t>
  </si>
  <si>
    <t>Results of effectiveness assessments are reported to management.</t>
  </si>
  <si>
    <t>N/A — no assessments performed.</t>
  </si>
  <si>
    <t>Board receives no assurance reporting (links to GOV-02).</t>
  </si>
  <si>
    <t>EFF-03</t>
  </si>
  <si>
    <t>An improvement cycle exists (findings tracked to closure).</t>
  </si>
  <si>
    <t>No findings register or corrective action tracking.</t>
  </si>
  <si>
    <t>No continual improvement loop (contrast ISO 27001 Clause 10).</t>
  </si>
  <si>
    <t>HYG-01</t>
  </si>
  <si>
    <t>Art. 21(2)(g)</t>
  </si>
  <si>
    <t>Cyber Hygiene &amp; Training</t>
  </si>
  <si>
    <t>Basic cyber hygiene practices are implemented (patching, malware protection, hardening).</t>
  </si>
  <si>
    <t>Managed EDR on all endpoints; OS patching current; server hardening baseline not documented.</t>
  </si>
  <si>
    <t>Core hygiene good; hardening standards undocumented so consistency unverifiable.</t>
  </si>
  <si>
    <t>HYG-02</t>
  </si>
  <si>
    <t>Security awareness training is delivered regularly to all staff.</t>
  </si>
  <si>
    <t>Annual e-learning (78% completion); no phishing simulations.</t>
  </si>
  <si>
    <t>Same gap as GOV-04; no measurement of behavioural outcomes.</t>
  </si>
  <si>
    <t>HYG-03</t>
  </si>
  <si>
    <t>Role-specific training for privileged/technical staff.</t>
  </si>
  <si>
    <t>None — developers and admins receive the same generic module.</t>
  </si>
  <si>
    <t>No secure coding training for developers; no admin-specific training.</t>
  </si>
  <si>
    <t>HYG-04</t>
  </si>
  <si>
    <t>Acceptable use and clean desk/screen policies are in place and communicated.</t>
  </si>
  <si>
    <t>AUP signed at onboarding; no re-attestation.</t>
  </si>
  <si>
    <t>One-time attestation only; policy awareness decays.</t>
  </si>
  <si>
    <t>CRY-01</t>
  </si>
  <si>
    <t>Art. 21(2)(h)</t>
  </si>
  <si>
    <t>Cryptography</t>
  </si>
  <si>
    <t>A cryptography policy defines where and how encryption is used.</t>
  </si>
  <si>
    <t>No policy; encryption decisions made ad hoc by engineers.</t>
  </si>
  <si>
    <t>No documented crypto standards (algorithms, key lengths, protocols).</t>
  </si>
  <si>
    <t>CRY-02</t>
  </si>
  <si>
    <t>Data is encrypted in transit and at rest where appropriate.</t>
  </si>
  <si>
    <t>TLS 1.2+ enforced on all endpoints; AWS RDS/S3 encryption at rest enabled; laptops FileVault/BitLocker encrypted.</t>
  </si>
  <si>
    <t>No gap — strong technical position; needs the policy (CRY-01) to evidence it.</t>
  </si>
  <si>
    <t>CRY-03</t>
  </si>
  <si>
    <t>Cryptographic keys are managed securely through their lifecycle.</t>
  </si>
  <si>
    <t>AWS KMS used for platform keys; no key inventory or rotation schedule for application-level secrets; some secrets in code repos.</t>
  </si>
  <si>
    <t>Hardcoded secrets found in repositories; no secrets management tool or rotation.</t>
  </si>
  <si>
    <t>HRA-01</t>
  </si>
  <si>
    <t>Art. 21(2)(i)</t>
  </si>
  <si>
    <t>HR, Access Control &amp; Assets</t>
  </si>
  <si>
    <t>Security responsibilities are addressed in HR processes (screening, joiner/mover/leaver).</t>
  </si>
  <si>
    <t>References checked at hiring; leaver access removal relies on manager emailing IT — two ex-employees found with active VPN accounts.</t>
  </si>
  <si>
    <t>JML process informal; orphaned accounts are a live finding, not a theoretical risk.</t>
  </si>
  <si>
    <t>HRA-02</t>
  </si>
  <si>
    <t>Access is granted on least-privilege and role basis, with an approval workflow.</t>
  </si>
  <si>
    <t>Access granted on request via helpdesk; several developers hold production admin rights 'for convenience'.</t>
  </si>
  <si>
    <t>No RBAC model; excessive standing privileges to production systems holding patient data.</t>
  </si>
  <si>
    <t>HRA-03</t>
  </si>
  <si>
    <t>Access rights are recertified periodically.</t>
  </si>
  <si>
    <t>Never performed.</t>
  </si>
  <si>
    <t>No access recertification; combined with HRA-01 this compounds orphaned-access risk.</t>
  </si>
  <si>
    <t>HRA-04</t>
  </si>
  <si>
    <t>An asset inventory of hardware, software and information assets is maintained.</t>
  </si>
  <si>
    <t>Laptop register in a spreadsheet (last updated 5 months ago); no software or information asset inventory.</t>
  </si>
  <si>
    <t>Partial hardware inventory only; unknown assets cannot be protected.</t>
  </si>
  <si>
    <t>HRA-05</t>
  </si>
  <si>
    <t>Assets are securely disposed of / wiped at end of life.</t>
  </si>
  <si>
    <t>Old laptops stored in a cupboard; no wipe or disposal procedure.</t>
  </si>
  <si>
    <t>No sanitisation process (e.g. certified wipe) for devices that have held patient-related data.</t>
  </si>
  <si>
    <t>MFA-01</t>
  </si>
  <si>
    <t>Art. 21(2)(j)</t>
  </si>
  <si>
    <t>Authentication &amp; Secure Comms</t>
  </si>
  <si>
    <t>Multi-factor authentication is enforced for remote access and privileged accounts.</t>
  </si>
  <si>
    <t>MFA enforced on Microsoft 365 and VPN; NOT enforced on the AWS console or the SaaS admin portal.</t>
  </si>
  <si>
    <t>The most sensitive interfaces (cloud console, platform admin) lack MFA — highest-value target unprotected.</t>
  </si>
  <si>
    <t>MFA-02</t>
  </si>
  <si>
    <t>MFA or continuous authentication is applied for user access to critical applications.</t>
  </si>
  <si>
    <t>Customer-facing platform supports MFA but it is optional; 22% of hospital users have enabled it.</t>
  </si>
  <si>
    <t>Optional MFA on a healthcare platform; should be default-on with enforced rollout plan agreed with customers.</t>
  </si>
  <si>
    <t>MFA-03</t>
  </si>
  <si>
    <t>Voice, video and text communications are secured where appropriate.</t>
  </si>
  <si>
    <t>Teams (encrypted in transit) used internally; no policy on communicating incident details with customers securely.</t>
  </si>
  <si>
    <t>Adequate tooling; no guidance on secure channels for sensitive comms.</t>
  </si>
  <si>
    <t>MFA-04</t>
  </si>
  <si>
    <t>Secured emergency communication systems exist for use during incidents.</t>
  </si>
  <si>
    <t>None — if M365 is compromised there is no out-of-band channel.</t>
  </si>
  <si>
    <t>No out-of-band comms (e.g. Signal group, break-glass contact list) for use when primary systems are down or untrusted.</t>
  </si>
  <si>
    <t>REP-01</t>
  </si>
  <si>
    <t>Art. 23(4)(a)</t>
  </si>
  <si>
    <t>Incident Reporting</t>
  </si>
  <si>
    <t>Capability to submit an early warning to the CSIRT within 24 hours of a significant incident.</t>
  </si>
  <si>
    <t>No procedure, no template, no one aware of the obligation; CSIRT-IE contact details not recorded.</t>
  </si>
  <si>
    <t>24-hour early warning is the tightest clock in NIS2; with no process HealthNet cannot meet it.</t>
  </si>
  <si>
    <t>REP-02</t>
  </si>
  <si>
    <t>Art. 23(4)(b)</t>
  </si>
  <si>
    <t>Capability to submit an incident notification within 72 hours (assessment of severity, impact, IoCs).</t>
  </si>
  <si>
    <t>No procedure; overlaps with, but is distinct from, GDPR Art. 33 breach notification which the DPO handles.</t>
  </si>
  <si>
    <t>72-hour notification requires impact assessment capability; teams conflate NIS2 and GDPR clocks — parallel obligations, different regulators (CSIRT-IE vs DPC).</t>
  </si>
  <si>
    <t>REP-03</t>
  </si>
  <si>
    <t>Art. 23(4)(d)</t>
  </si>
  <si>
    <t>Capability to produce a final report within 1 month (root cause, mitigation, cross-border impact).</t>
  </si>
  <si>
    <t>No PIR process exists (see INC-05), so no basis for a final report.</t>
  </si>
  <si>
    <t>Final report depends on root-cause analysis capability that doesn't exist.</t>
  </si>
  <si>
    <t>REP-04</t>
  </si>
  <si>
    <t>Art. 23(1)</t>
  </si>
  <si>
    <t>Criteria to determine whether an incident is 'significant' are defined and understood.</t>
  </si>
  <si>
    <t>No definition adopted; no thresholds mapped to the platform or customer impact.</t>
  </si>
  <si>
    <t>Without significance criteria every incident triggers an ad-hoc legal debate under time pressure.</t>
  </si>
  <si>
    <t>REG-01</t>
  </si>
  <si>
    <t>Art. 27 / NCSB</t>
  </si>
  <si>
    <t>Registration &amp; Regulator Engagement</t>
  </si>
  <si>
    <t>Entity registration details prepared for submission to the competent authority.</t>
  </si>
  <si>
    <t>Not started; unaware of the registration obligation under the Irish framework.</t>
  </si>
  <si>
    <t>Registration data (contacts, sector, cross-border services) should be prepared now so submission is immediate once the Irish portal opens.</t>
  </si>
  <si>
    <t>REG-02</t>
  </si>
  <si>
    <t>NCSB / NCSC</t>
  </si>
  <si>
    <t>Monitoring of Irish transposition (National Cyber Security Bill) and NCSC guidance (RMM, CyFun).</t>
  </si>
  <si>
    <t>No one is assigned to track regulatory developments.</t>
  </si>
  <si>
    <t>Assign ownership for horizon-scanning; NCSC draft Risk Management Measures and CyFun already signal expected controls.</t>
  </si>
  <si>
    <t>Remediation Roadmap — HealthNet Ireland Ltd</t>
  </si>
  <si>
    <t>Prioritised actions for all Partially/Non-Compliant findings | P1 = 0-3 months, P2 = 3-6 months, P3 = 6-12 months</t>
  </si>
  <si>
    <t>Remediation Action</t>
  </si>
  <si>
    <t>ISO 27001:2022 Ref</t>
  </si>
  <si>
    <t>Owner</t>
  </si>
  <si>
    <t>Priority</t>
  </si>
  <si>
    <t>Effort</t>
  </si>
  <si>
    <t>Target</t>
  </si>
  <si>
    <t>Present risk-management measures to the board for formal approval; record in minutes. Establish standing quarterly cyber agenda item.</t>
  </si>
  <si>
    <t>Clause 5.1</t>
  </si>
  <si>
    <t>CEO / Board</t>
  </si>
  <si>
    <t>P1</t>
  </si>
  <si>
    <t>Q3 2026</t>
  </si>
  <si>
    <t>Define board cyber-risk dashboard (top risks, incidents, training %, patching SLA) reported quarterly.</t>
  </si>
  <si>
    <t>Clause 9.3</t>
  </si>
  <si>
    <t>IT Manager</t>
  </si>
  <si>
    <t>Adopt a risk assessment methodology (ISO 27005-aligned, 5x5 likelihood x impact); run first full assessment covering cyber, physical and supply-chain (all-hazards).</t>
  </si>
  <si>
    <t>Clause 6.1.2</t>
  </si>
  <si>
    <t>Establish risk register with owners, scores, treatment decisions; review quarterly.</t>
  </si>
  <si>
    <t>Clause 6.1.3</t>
  </si>
  <si>
    <t>Create NIS2 incident reporting procedure: significance criteria, 24h early warning template, 72h notification template, 1-month final report template; record CSIRT-IE contact details; brief on-call staff. Align with (but keep distinct from) GDPR Art. 33 process.</t>
  </si>
  <si>
    <t>A.5.24 / A.5.5</t>
  </si>
  <si>
    <t>IT Manager + DPO</t>
  </si>
  <si>
    <t>Enforce MFA on AWS console (IAM policy) and SaaS admin portal immediately.</t>
  </si>
  <si>
    <t>A.5.17 / A.8.5</t>
  </si>
  <si>
    <t>Platform Lead</t>
  </si>
  <si>
    <t>Implement immutable/offline backup copy (e.g. S3 Object Lock in separate account); schedule quarterly restore tests.</t>
  </si>
  <si>
    <t>A.8.13</t>
  </si>
  <si>
    <t>Formalise JML process: HR-triggered leaver checklist with same-day access revocation; immediate audit and removal of orphaned accounts.</t>
  </si>
  <si>
    <t>A.6.1-A.6.5 / A.5.18</t>
  </si>
  <si>
    <t>HR + IT</t>
  </si>
  <si>
    <t>Deploy secrets management (e.g. AWS Secrets Manager); purge hardcoded secrets from repos; define rotation schedule.</t>
  </si>
  <si>
    <t>A.8.24</t>
  </si>
  <si>
    <t>Q4 2026</t>
  </si>
  <si>
    <t>Develop full incident response plan: P1-P4 severity model, roles incl. deputy IR lead, ransomware and data-breach playbooks, out-of-hours contact rota.</t>
  </si>
  <si>
    <t>A.5.24-A.5.28</t>
  </si>
  <si>
    <t>P2</t>
  </si>
  <si>
    <t>Centralise security logging for platform and corporate estate (cloud-native SIEM tier acceptable at current scale); define alerting use cases.</t>
  </si>
  <si>
    <t>A.8.15 / A.8.16</t>
  </si>
  <si>
    <t>Q1 2027</t>
  </si>
  <si>
    <t>Implement RBAC for production; remove standing developer admin access; introduce just-in-time privileged access with approval workflow.</t>
  </si>
  <si>
    <t>A.5.15 / A.8.2</t>
  </si>
  <si>
    <t>Develop supplier security schedule (security requirements, incident notification within 24h, audit rights) and attach to all critical supplier contracts at renewal.</t>
  </si>
  <si>
    <t>A.5.19-A.5.21</t>
  </si>
  <si>
    <t>Ops + Legal</t>
  </si>
  <si>
    <t>Risk-rank supplier inventory; designate critical ICT suppliers; onboard due-diligence questionnaire for new suppliers (TPRM).</t>
  </si>
  <si>
    <t>A.5.19</t>
  </si>
  <si>
    <t>Ops</t>
  </si>
  <si>
    <t>Finalise BC/DR plan; agree RTO/RPO with management and reflect in customer SLAs; document failover runbook.</t>
  </si>
  <si>
    <t>A.5.29-A.5.30 / A.8.14</t>
  </si>
  <si>
    <t>Deploy authenticated vulnerability scanning (infrastructure + application); adopt CVSS-based remediation SLAs (Critical 7d, High 30d, Medium 90d); close open 2024 pentest findings.</t>
  </si>
  <si>
    <t>A.8.8</t>
  </si>
  <si>
    <t>Define incident significance criteria mapped to platform impact (e.g. service unavailability to hospital customers &gt; 1h, any patient-data confidentiality breach).</t>
  </si>
  <si>
    <t>A.5.24</t>
  </si>
  <si>
    <t>Implement annual board cybersecurity training; document attendance.</t>
  </si>
  <si>
    <t>Clause 7.3</t>
  </si>
  <si>
    <t>CEO</t>
  </si>
  <si>
    <t>Establish annual internal control-effectiveness review (self-assessment against this register) plus control KPIs; report results to board.</t>
  </si>
  <si>
    <t>Clause 9.1-9.2</t>
  </si>
  <si>
    <t>P3</t>
  </si>
  <si>
    <t>Run first tabletop exercise (ransomware scenario incl. 24h/72h reporting drill); capture lessons in PIR and corrective action log.</t>
  </si>
  <si>
    <t>A.5.27</t>
  </si>
  <si>
    <t>Test regional failover of the platform in a controlled window; validate RTO/RPO.</t>
  </si>
  <si>
    <t>A.8.14</t>
  </si>
  <si>
    <t>Introduce role-based training: secure coding for developers (OWASP Top 10), privileged-user training for admins.</t>
  </si>
  <si>
    <t>A.6.3 / A.8.28</t>
  </si>
  <si>
    <t>Implement quarterly access recertification for production and privileged accounts; annually for all systems.</t>
  </si>
  <si>
    <t>A.5.18</t>
  </si>
  <si>
    <t>IT + HR</t>
  </si>
  <si>
    <t>Deploy asset management tooling; extend inventory to software and information assets with owners and classification.</t>
  </si>
  <si>
    <t>A.5.9-A.5.12</t>
  </si>
  <si>
    <t>Define secure disposal procedure (certified wipe or destruction with certificates); clear backlog of stored devices.</t>
  </si>
  <si>
    <t>A.7.14</t>
  </si>
  <si>
    <t>Adopt secure development standard; add security requirements and review gates to the SDLC.</t>
  </si>
  <si>
    <t>A.8.25-A.8.29</t>
  </si>
  <si>
    <t>Dev Lead</t>
  </si>
  <si>
    <t>Q2 2027</t>
  </si>
  <si>
    <t>Publish coordinated vulnerability disclosure policy and security.txt.</t>
  </si>
  <si>
    <t>Schedule annual independent penetration test of the platform.</t>
  </si>
  <si>
    <t>A.8.29 / A.5.35</t>
  </si>
  <si>
    <t>Make MFA default-on for new platform users; agree enforced rollout plan with hospital customers.</t>
  </si>
  <si>
    <t>A.8.5</t>
  </si>
  <si>
    <t>Product + Customers</t>
  </si>
  <si>
    <t>Establish out-of-band emergency comms channel and printed break-glass contact list.</t>
  </si>
  <si>
    <t>A.5.29</t>
  </si>
  <si>
    <t>Define crisis management team, decision authority and communications plan (customers, NCSC/CSIRT-IE, media).</t>
  </si>
  <si>
    <t>Write cryptography policy (approved algorithms, TLS baseline, key lifecycle) reflecting current good practice already in place.</t>
  </si>
  <si>
    <t>Prepare registration pack (entity details, contacts, sector, member states served) ready for submission when the Irish NIS2 portal opens; assign regulatory horizon-scanning owner (also covers REG-02).</t>
  </si>
  <si>
    <t>A.5.31</t>
  </si>
  <si>
    <t>DPO</t>
  </si>
  <si>
    <t>Executive Dashboard — NIS2 Readiness</t>
  </si>
  <si>
    <t>All figures calculated live from Sheet '2. Gap Assessment' — updates automatically as statuses change</t>
  </si>
  <si>
    <t>OVERALL POSITION</t>
  </si>
  <si>
    <t>Total requirements assessed</t>
  </si>
  <si>
    <t>Overall compliance score (Compliant + 0.5 x Partial)</t>
  </si>
  <si>
    <t>High-risk gaps</t>
  </si>
  <si>
    <t>POSITION BY DOMAIN</t>
  </si>
  <si>
    <t>Domain (NIS2 Article)</t>
  </si>
  <si>
    <t>Requirements</t>
  </si>
  <si>
    <t>Partial</t>
  </si>
  <si>
    <t>High Risks</t>
  </si>
  <si>
    <t>TOP 5 PRIORITY MESSAGES FOR THE BOARD</t>
  </si>
  <si>
    <t>1. Governance is the headline gap: the board has never approved or overseen cyber risk measures. Under the draft Irish Bill (Heads 28 &amp; 43) this carries potential personal liability for directors.</t>
  </si>
  <si>
    <t>2. HealthNet cannot currently meet the 24-hour / 72-hour / 1-month incident reporting clocks — no procedure, templates or CSIRT-IE contact exists. This is the fastest regulatory exposure to fix.</t>
  </si>
  <si>
    <t>3. There is no risk assessment process or risk register — the foundation every other NIS2 measure must be proportionate to. Remediate first; it also directly reuses the ISO 27001 methodology.</t>
  </si>
  <si>
    <t>4. Quick wins with outsized impact: enforce MFA on the AWS console and admin portal, revoke orphaned ex-employee accounts, and add an immutable backup copy — all achievable inside 90 days.</t>
  </si>
  <si>
    <t>5. Hospital customers are already flowing NIS2 obligations down through contracts. Closing these gaps is a commercial enabler, not just a compliance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</si>
</sst>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0"/>
      <color rgb="FF0061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Alignment="1">
      <alignment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2" fillId="0" borderId="0" xfId="0" applyFont="1"/>
    <xf numFmtId="0" fontId="1" fillId="0" borderId="0" xfId="0" applyFont="1"/>
    <xf numFmtId="0" fontId="4" fillId="3" borderId="1" xfId="0" applyFont="1" applyFill="1" applyBorder="1" applyAlignment="1">
      <alignment vertical="center" wrapText="1" indent="1"/>
    </xf>
    <xf numFmtId="0" fontId="0" fillId="0" borderId="0" xfId="0"/>
    <xf numFmtId="0" fontId="3" fillId="2" borderId="0" xfId="0" applyFont="1" applyFill="1" applyAlignment="1">
      <alignment vertical="center" indent="1"/>
    </xf>
    <xf numFmtId="0" fontId="2" fillId="0" borderId="0" xfId="0" applyFont="1" applyAlignment="1">
      <alignment vertical="center" indent="1"/>
    </xf>
    <xf numFmtId="0" fontId="1" fillId="0" borderId="0" xfId="0" applyFont="1" applyAlignment="1">
      <alignment vertical="center" indent="1"/>
    </xf>
    <xf numFmtId="0" fontId="3" fillId="2" borderId="0" xfId="0" applyFont="1" applyFill="1" applyAlignment="1">
      <alignment vertical="center" indent="1"/>
    </xf>
    <xf numFmtId="0" fontId="4" fillId="3" borderId="1" xfId="0" applyFont="1" applyFill="1" applyBorder="1" applyAlignment="1">
      <alignment vertical="center" wrapText="1" indent="1"/>
    </xf>
    <xf numFmtId="0" fontId="5" fillId="0" borderId="1" xfId="0" applyFont="1" applyBorder="1" applyAlignment="1">
      <alignment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18" zoomScaleNormal="100" workbookViewId="0">
      <selection sqref="A1:C1"/>
    </sheetView>
  </sheetViews>
  <sheetFormatPr defaultColWidth="8.6640625" defaultRowHeight="14.4" x14ac:dyDescent="0.3"/>
  <cols>
    <col min="1" max="1" width="32" customWidth="1"/>
    <col min="2" max="2" width="95" customWidth="1"/>
  </cols>
  <sheetData>
    <row r="1" spans="1:3" ht="25.5" customHeight="1" x14ac:dyDescent="0.3">
      <c r="A1" s="9" t="s">
        <v>0</v>
      </c>
      <c r="B1" s="9"/>
      <c r="C1" s="9"/>
    </row>
    <row r="2" spans="1:3" ht="24" customHeight="1" x14ac:dyDescent="0.3">
      <c r="A2" s="8" t="s">
        <v>1</v>
      </c>
      <c r="B2" s="8"/>
      <c r="C2" s="8"/>
    </row>
    <row r="3" spans="1:3" ht="7.5" customHeight="1" x14ac:dyDescent="0.3"/>
    <row r="4" spans="1:3" ht="24" customHeight="1" x14ac:dyDescent="0.3">
      <c r="A4" s="7" t="s">
        <v>2</v>
      </c>
      <c r="B4" s="7"/>
    </row>
    <row r="5" spans="1:3" ht="24" customHeight="1" x14ac:dyDescent="0.3">
      <c r="A5" s="11" t="s">
        <v>3</v>
      </c>
      <c r="B5" s="12" t="s">
        <v>4</v>
      </c>
    </row>
    <row r="6" spans="1:3" ht="24" customHeight="1" x14ac:dyDescent="0.3">
      <c r="A6" s="11" t="s">
        <v>5</v>
      </c>
      <c r="B6" s="12" t="s">
        <v>6</v>
      </c>
    </row>
    <row r="7" spans="1:3" ht="37.5" customHeight="1" x14ac:dyDescent="0.3">
      <c r="A7" s="11" t="s">
        <v>7</v>
      </c>
      <c r="B7" s="12" t="s">
        <v>8</v>
      </c>
    </row>
    <row r="8" spans="1:3" ht="37.5" customHeight="1" x14ac:dyDescent="0.3">
      <c r="A8" s="11" t="s">
        <v>9</v>
      </c>
      <c r="B8" s="12" t="s">
        <v>10</v>
      </c>
    </row>
    <row r="9" spans="1:3" ht="24" customHeight="1" x14ac:dyDescent="0.3">
      <c r="A9" s="11" t="s">
        <v>11</v>
      </c>
      <c r="B9" s="12" t="s">
        <v>12</v>
      </c>
    </row>
    <row r="10" spans="1:3" ht="9.75" customHeight="1" x14ac:dyDescent="0.3">
      <c r="A10" s="6"/>
      <c r="B10" s="6"/>
    </row>
    <row r="11" spans="1:3" ht="24" customHeight="1" x14ac:dyDescent="0.3">
      <c r="A11" s="10" t="s">
        <v>13</v>
      </c>
    </row>
    <row r="12" spans="1:3" ht="37.5" customHeight="1" x14ac:dyDescent="0.3">
      <c r="A12" s="11" t="s">
        <v>14</v>
      </c>
      <c r="B12" s="12" t="s">
        <v>15</v>
      </c>
    </row>
    <row r="13" spans="1:3" ht="37.5" customHeight="1" x14ac:dyDescent="0.3">
      <c r="A13" s="11" t="s">
        <v>16</v>
      </c>
      <c r="B13" s="12" t="s">
        <v>17</v>
      </c>
    </row>
    <row r="14" spans="1:3" ht="51.75" customHeight="1" x14ac:dyDescent="0.3">
      <c r="A14" s="11" t="s">
        <v>18</v>
      </c>
      <c r="B14" s="12" t="s">
        <v>19</v>
      </c>
    </row>
    <row r="15" spans="1:3" ht="37.5" customHeight="1" x14ac:dyDescent="0.3">
      <c r="A15" s="11" t="s">
        <v>20</v>
      </c>
      <c r="B15" s="12" t="s">
        <v>21</v>
      </c>
    </row>
    <row r="16" spans="1:3" ht="66" customHeight="1" x14ac:dyDescent="0.3">
      <c r="A16" s="5" t="s">
        <v>22</v>
      </c>
      <c r="B16" s="5" t="s">
        <v>23</v>
      </c>
    </row>
    <row r="17" spans="1:2" ht="34.5" customHeight="1" x14ac:dyDescent="0.3"/>
    <row r="18" spans="1:2" ht="24" customHeight="1" x14ac:dyDescent="0.3">
      <c r="A18" s="10" t="s">
        <v>24</v>
      </c>
    </row>
    <row r="19" spans="1:2" ht="51.75" customHeight="1" x14ac:dyDescent="0.3">
      <c r="A19" s="11" t="s">
        <v>25</v>
      </c>
      <c r="B19" s="12" t="s">
        <v>26</v>
      </c>
    </row>
    <row r="20" spans="1:2" ht="51.75" customHeight="1" x14ac:dyDescent="0.3">
      <c r="A20" s="11" t="s">
        <v>27</v>
      </c>
      <c r="B20" s="12" t="s">
        <v>28</v>
      </c>
    </row>
    <row r="21" spans="1:2" ht="37.5" customHeight="1" x14ac:dyDescent="0.3">
      <c r="A21" s="5" t="s">
        <v>29</v>
      </c>
      <c r="B21" s="5" t="s">
        <v>30</v>
      </c>
    </row>
    <row r="22" spans="1:2" ht="37.5" customHeight="1" x14ac:dyDescent="0.3">
      <c r="A22" s="11" t="s">
        <v>31</v>
      </c>
      <c r="B22" s="12" t="s">
        <v>32</v>
      </c>
    </row>
    <row r="24" spans="1:2" ht="24" customHeight="1" x14ac:dyDescent="0.3">
      <c r="A24" s="10" t="s">
        <v>33</v>
      </c>
    </row>
    <row r="25" spans="1:2" ht="51.75" customHeight="1" x14ac:dyDescent="0.3">
      <c r="A25" s="11" t="s">
        <v>34</v>
      </c>
      <c r="B25" s="12" t="s">
        <v>35</v>
      </c>
    </row>
  </sheetData>
  <mergeCells count="6">
    <mergeCell ref="A21:B21"/>
    <mergeCell ref="A1:C1"/>
    <mergeCell ref="A2:C2"/>
    <mergeCell ref="A4:B4"/>
    <mergeCell ref="A10:B10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zoomScaleNormal="100" workbookViewId="0">
      <pane ySplit="4" topLeftCell="A116" activePane="bottomLeft" state="frozen"/>
      <selection pane="bottomLeft" sqref="A1:I1"/>
    </sheetView>
  </sheetViews>
  <sheetFormatPr defaultColWidth="8.6640625" defaultRowHeight="14.4" x14ac:dyDescent="0.3"/>
  <cols>
    <col min="1" max="1" width="9" customWidth="1"/>
    <col min="2" max="2" width="12" customWidth="1"/>
    <col min="3" max="3" width="24" customWidth="1"/>
    <col min="4" max="4" width="42" customWidth="1"/>
    <col min="5" max="5" width="52" customWidth="1"/>
    <col min="6" max="6" width="18" customWidth="1"/>
    <col min="7" max="7" width="9" customWidth="1"/>
    <col min="8" max="8" width="52" customWidth="1"/>
  </cols>
  <sheetData>
    <row r="1" spans="1:9" ht="17.25" customHeight="1" x14ac:dyDescent="0.3">
      <c r="A1" s="4" t="s">
        <v>36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3">
      <c r="A2" s="3" t="s">
        <v>37</v>
      </c>
      <c r="B2" s="3"/>
      <c r="C2" s="3"/>
      <c r="D2" s="3"/>
      <c r="E2" s="3"/>
      <c r="F2" s="3"/>
      <c r="G2" s="3"/>
      <c r="H2" s="3"/>
      <c r="I2" s="3"/>
    </row>
    <row r="4" spans="1:9" ht="33.75" customHeight="1" x14ac:dyDescent="0.3">
      <c r="A4" s="13" t="s">
        <v>38</v>
      </c>
      <c r="B4" s="13" t="s">
        <v>39</v>
      </c>
      <c r="C4" s="13" t="s">
        <v>40</v>
      </c>
      <c r="D4" s="13" t="s">
        <v>41</v>
      </c>
      <c r="E4" s="13" t="s">
        <v>42</v>
      </c>
      <c r="F4" s="13" t="s">
        <v>43</v>
      </c>
      <c r="G4" s="13" t="s">
        <v>44</v>
      </c>
      <c r="H4" s="13" t="s">
        <v>45</v>
      </c>
    </row>
    <row r="5" spans="1:9" ht="51.75" customHeight="1" x14ac:dyDescent="0.3">
      <c r="A5" s="14" t="s">
        <v>46</v>
      </c>
      <c r="B5" s="14" t="s">
        <v>47</v>
      </c>
      <c r="C5" s="12" t="s">
        <v>48</v>
      </c>
      <c r="D5" s="12" t="s">
        <v>49</v>
      </c>
      <c r="E5" s="12" t="s">
        <v>50</v>
      </c>
      <c r="F5" s="15" t="s">
        <v>51</v>
      </c>
      <c r="G5" s="15" t="s">
        <v>52</v>
      </c>
      <c r="H5" s="12" t="s">
        <v>53</v>
      </c>
    </row>
    <row r="6" spans="1:9" ht="37.5" customHeight="1" x14ac:dyDescent="0.3">
      <c r="A6" s="14" t="s">
        <v>54</v>
      </c>
      <c r="B6" s="14" t="s">
        <v>47</v>
      </c>
      <c r="C6" s="12" t="s">
        <v>48</v>
      </c>
      <c r="D6" s="12" t="s">
        <v>55</v>
      </c>
      <c r="E6" s="12" t="s">
        <v>56</v>
      </c>
      <c r="F6" s="15" t="s">
        <v>51</v>
      </c>
      <c r="G6" s="15" t="s">
        <v>52</v>
      </c>
      <c r="H6" s="12" t="s">
        <v>57</v>
      </c>
    </row>
    <row r="7" spans="1:9" ht="37.5" customHeight="1" x14ac:dyDescent="0.3">
      <c r="A7" s="14" t="s">
        <v>58</v>
      </c>
      <c r="B7" s="14" t="s">
        <v>59</v>
      </c>
      <c r="C7" s="12" t="s">
        <v>48</v>
      </c>
      <c r="D7" s="12" t="s">
        <v>60</v>
      </c>
      <c r="E7" s="12" t="s">
        <v>61</v>
      </c>
      <c r="F7" s="16" t="s">
        <v>62</v>
      </c>
      <c r="G7" s="16" t="s">
        <v>63</v>
      </c>
      <c r="H7" s="12" t="s">
        <v>64</v>
      </c>
    </row>
    <row r="8" spans="1:9" ht="37.5" customHeight="1" x14ac:dyDescent="0.3">
      <c r="A8" s="14" t="s">
        <v>65</v>
      </c>
      <c r="B8" s="14" t="s">
        <v>59</v>
      </c>
      <c r="C8" s="12" t="s">
        <v>48</v>
      </c>
      <c r="D8" s="12" t="s">
        <v>66</v>
      </c>
      <c r="E8" s="12" t="s">
        <v>67</v>
      </c>
      <c r="F8" s="16" t="s">
        <v>62</v>
      </c>
      <c r="G8" s="16" t="s">
        <v>63</v>
      </c>
      <c r="H8" s="12" t="s">
        <v>68</v>
      </c>
    </row>
    <row r="9" spans="1:9" ht="37.5" customHeight="1" x14ac:dyDescent="0.3">
      <c r="A9" s="14" t="s">
        <v>69</v>
      </c>
      <c r="B9" s="14" t="s">
        <v>70</v>
      </c>
      <c r="C9" s="12" t="s">
        <v>71</v>
      </c>
      <c r="D9" s="12" t="s">
        <v>72</v>
      </c>
      <c r="E9" s="12" t="s">
        <v>73</v>
      </c>
      <c r="F9" s="16" t="s">
        <v>62</v>
      </c>
      <c r="G9" s="17" t="s">
        <v>74</v>
      </c>
      <c r="H9" s="12" t="s">
        <v>75</v>
      </c>
    </row>
    <row r="10" spans="1:9" ht="51.75" customHeight="1" x14ac:dyDescent="0.3">
      <c r="A10" s="14" t="s">
        <v>76</v>
      </c>
      <c r="B10" s="14" t="s">
        <v>70</v>
      </c>
      <c r="C10" s="12" t="s">
        <v>71</v>
      </c>
      <c r="D10" s="12" t="s">
        <v>77</v>
      </c>
      <c r="E10" s="12" t="s">
        <v>78</v>
      </c>
      <c r="F10" s="15" t="s">
        <v>51</v>
      </c>
      <c r="G10" s="15" t="s">
        <v>52</v>
      </c>
      <c r="H10" s="12" t="s">
        <v>79</v>
      </c>
    </row>
    <row r="11" spans="1:9" ht="37.5" customHeight="1" x14ac:dyDescent="0.3">
      <c r="A11" s="14" t="s">
        <v>80</v>
      </c>
      <c r="B11" s="14" t="s">
        <v>70</v>
      </c>
      <c r="C11" s="12" t="s">
        <v>71</v>
      </c>
      <c r="D11" s="12" t="s">
        <v>81</v>
      </c>
      <c r="E11" s="12" t="s">
        <v>82</v>
      </c>
      <c r="F11" s="15" t="s">
        <v>51</v>
      </c>
      <c r="G11" s="15" t="s">
        <v>52</v>
      </c>
      <c r="H11" s="12" t="s">
        <v>83</v>
      </c>
    </row>
    <row r="12" spans="1:9" ht="51.75" customHeight="1" x14ac:dyDescent="0.3">
      <c r="A12" s="14" t="s">
        <v>84</v>
      </c>
      <c r="B12" s="14" t="s">
        <v>70</v>
      </c>
      <c r="C12" s="12" t="s">
        <v>71</v>
      </c>
      <c r="D12" s="12" t="s">
        <v>85</v>
      </c>
      <c r="E12" s="12" t="s">
        <v>86</v>
      </c>
      <c r="F12" s="15" t="s">
        <v>51</v>
      </c>
      <c r="G12" s="16" t="s">
        <v>63</v>
      </c>
      <c r="H12" s="12" t="s">
        <v>87</v>
      </c>
    </row>
    <row r="13" spans="1:9" ht="51.75" customHeight="1" x14ac:dyDescent="0.3">
      <c r="A13" s="14" t="s">
        <v>88</v>
      </c>
      <c r="B13" s="14" t="s">
        <v>89</v>
      </c>
      <c r="C13" s="12" t="s">
        <v>90</v>
      </c>
      <c r="D13" s="12" t="s">
        <v>91</v>
      </c>
      <c r="E13" s="12" t="s">
        <v>92</v>
      </c>
      <c r="F13" s="15" t="s">
        <v>51</v>
      </c>
      <c r="G13" s="15" t="s">
        <v>52</v>
      </c>
      <c r="H13" s="12" t="s">
        <v>93</v>
      </c>
    </row>
    <row r="14" spans="1:9" ht="51.75" customHeight="1" x14ac:dyDescent="0.3">
      <c r="A14" s="14" t="s">
        <v>94</v>
      </c>
      <c r="B14" s="14" t="s">
        <v>89</v>
      </c>
      <c r="C14" s="12" t="s">
        <v>90</v>
      </c>
      <c r="D14" s="12" t="s">
        <v>95</v>
      </c>
      <c r="E14" s="12" t="s">
        <v>96</v>
      </c>
      <c r="F14" s="16" t="s">
        <v>62</v>
      </c>
      <c r="G14" s="15" t="s">
        <v>52</v>
      </c>
      <c r="H14" s="12" t="s">
        <v>97</v>
      </c>
    </row>
    <row r="15" spans="1:9" ht="51.75" customHeight="1" x14ac:dyDescent="0.3">
      <c r="A15" s="14" t="s">
        <v>98</v>
      </c>
      <c r="B15" s="14" t="s">
        <v>89</v>
      </c>
      <c r="C15" s="12" t="s">
        <v>90</v>
      </c>
      <c r="D15" s="12" t="s">
        <v>99</v>
      </c>
      <c r="E15" s="12" t="s">
        <v>100</v>
      </c>
      <c r="F15" s="15" t="s">
        <v>51</v>
      </c>
      <c r="G15" s="16" t="s">
        <v>63</v>
      </c>
      <c r="H15" s="12" t="s">
        <v>101</v>
      </c>
    </row>
    <row r="16" spans="1:9" ht="37.5" customHeight="1" x14ac:dyDescent="0.3">
      <c r="A16" s="14" t="s">
        <v>102</v>
      </c>
      <c r="B16" s="14" t="s">
        <v>89</v>
      </c>
      <c r="C16" s="12" t="s">
        <v>90</v>
      </c>
      <c r="D16" s="12" t="s">
        <v>103</v>
      </c>
      <c r="E16" s="12" t="s">
        <v>104</v>
      </c>
      <c r="F16" s="15" t="s">
        <v>51</v>
      </c>
      <c r="G16" s="16" t="s">
        <v>63</v>
      </c>
      <c r="H16" s="12" t="s">
        <v>105</v>
      </c>
    </row>
    <row r="17" spans="1:8" ht="37.5" customHeight="1" x14ac:dyDescent="0.3">
      <c r="A17" s="14" t="s">
        <v>106</v>
      </c>
      <c r="B17" s="14" t="s">
        <v>89</v>
      </c>
      <c r="C17" s="12" t="s">
        <v>90</v>
      </c>
      <c r="D17" s="12" t="s">
        <v>107</v>
      </c>
      <c r="E17" s="12" t="s">
        <v>108</v>
      </c>
      <c r="F17" s="15" t="s">
        <v>51</v>
      </c>
      <c r="G17" s="17" t="s">
        <v>74</v>
      </c>
      <c r="H17" s="12" t="s">
        <v>109</v>
      </c>
    </row>
    <row r="18" spans="1:8" ht="37.5" customHeight="1" x14ac:dyDescent="0.3">
      <c r="A18" s="14" t="s">
        <v>110</v>
      </c>
      <c r="B18" s="14" t="s">
        <v>111</v>
      </c>
      <c r="C18" s="12" t="s">
        <v>112</v>
      </c>
      <c r="D18" s="12" t="s">
        <v>113</v>
      </c>
      <c r="E18" s="12" t="s">
        <v>114</v>
      </c>
      <c r="F18" s="17" t="s">
        <v>115</v>
      </c>
      <c r="G18" s="17" t="s">
        <v>74</v>
      </c>
      <c r="H18" s="12" t="s">
        <v>116</v>
      </c>
    </row>
    <row r="19" spans="1:8" ht="51.75" customHeight="1" x14ac:dyDescent="0.3">
      <c r="A19" s="14" t="s">
        <v>117</v>
      </c>
      <c r="B19" s="14" t="s">
        <v>111</v>
      </c>
      <c r="C19" s="12" t="s">
        <v>112</v>
      </c>
      <c r="D19" s="12" t="s">
        <v>118</v>
      </c>
      <c r="E19" s="12" t="s">
        <v>119</v>
      </c>
      <c r="F19" s="16" t="s">
        <v>62</v>
      </c>
      <c r="G19" s="15" t="s">
        <v>52</v>
      </c>
      <c r="H19" s="12" t="s">
        <v>120</v>
      </c>
    </row>
    <row r="20" spans="1:8" ht="37.5" customHeight="1" x14ac:dyDescent="0.3">
      <c r="A20" s="14" t="s">
        <v>121</v>
      </c>
      <c r="B20" s="14" t="s">
        <v>111</v>
      </c>
      <c r="C20" s="12" t="s">
        <v>112</v>
      </c>
      <c r="D20" s="12" t="s">
        <v>122</v>
      </c>
      <c r="E20" s="12" t="s">
        <v>123</v>
      </c>
      <c r="F20" s="15" t="s">
        <v>51</v>
      </c>
      <c r="G20" s="15" t="s">
        <v>52</v>
      </c>
      <c r="H20" s="12" t="s">
        <v>124</v>
      </c>
    </row>
    <row r="21" spans="1:8" ht="37.5" customHeight="1" x14ac:dyDescent="0.3">
      <c r="A21" s="14" t="s">
        <v>125</v>
      </c>
      <c r="B21" s="14" t="s">
        <v>111</v>
      </c>
      <c r="C21" s="12" t="s">
        <v>112</v>
      </c>
      <c r="D21" s="12" t="s">
        <v>126</v>
      </c>
      <c r="E21" s="12" t="s">
        <v>127</v>
      </c>
      <c r="F21" s="15" t="s">
        <v>51</v>
      </c>
      <c r="G21" s="16" t="s">
        <v>63</v>
      </c>
      <c r="H21" s="12" t="s">
        <v>128</v>
      </c>
    </row>
    <row r="22" spans="1:8" ht="37.5" customHeight="1" x14ac:dyDescent="0.3">
      <c r="A22" s="14" t="s">
        <v>129</v>
      </c>
      <c r="B22" s="14" t="s">
        <v>111</v>
      </c>
      <c r="C22" s="12" t="s">
        <v>112</v>
      </c>
      <c r="D22" s="12" t="s">
        <v>130</v>
      </c>
      <c r="E22" s="12" t="s">
        <v>104</v>
      </c>
      <c r="F22" s="15" t="s">
        <v>51</v>
      </c>
      <c r="G22" s="16" t="s">
        <v>63</v>
      </c>
      <c r="H22" s="12" t="s">
        <v>131</v>
      </c>
    </row>
    <row r="23" spans="1:8" ht="37.5" customHeight="1" x14ac:dyDescent="0.3">
      <c r="A23" s="14" t="s">
        <v>132</v>
      </c>
      <c r="B23" s="14" t="s">
        <v>133</v>
      </c>
      <c r="C23" s="12" t="s">
        <v>134</v>
      </c>
      <c r="D23" s="12" t="s">
        <v>135</v>
      </c>
      <c r="E23" s="12" t="s">
        <v>136</v>
      </c>
      <c r="F23" s="16" t="s">
        <v>62</v>
      </c>
      <c r="G23" s="16" t="s">
        <v>63</v>
      </c>
      <c r="H23" s="12" t="s">
        <v>137</v>
      </c>
    </row>
    <row r="24" spans="1:8" ht="51.75" customHeight="1" x14ac:dyDescent="0.3">
      <c r="A24" s="14" t="s">
        <v>138</v>
      </c>
      <c r="B24" s="14" t="s">
        <v>133</v>
      </c>
      <c r="C24" s="12" t="s">
        <v>134</v>
      </c>
      <c r="D24" s="12" t="s">
        <v>139</v>
      </c>
      <c r="E24" s="12" t="s">
        <v>140</v>
      </c>
      <c r="F24" s="15" t="s">
        <v>51</v>
      </c>
      <c r="G24" s="15" t="s">
        <v>52</v>
      </c>
      <c r="H24" s="12" t="s">
        <v>141</v>
      </c>
    </row>
    <row r="25" spans="1:8" ht="37.5" customHeight="1" x14ac:dyDescent="0.3">
      <c r="A25" s="14" t="s">
        <v>142</v>
      </c>
      <c r="B25" s="14" t="s">
        <v>133</v>
      </c>
      <c r="C25" s="12" t="s">
        <v>134</v>
      </c>
      <c r="D25" s="12" t="s">
        <v>143</v>
      </c>
      <c r="E25" s="12" t="s">
        <v>144</v>
      </c>
      <c r="F25" s="15" t="s">
        <v>51</v>
      </c>
      <c r="G25" s="16" t="s">
        <v>63</v>
      </c>
      <c r="H25" s="12" t="s">
        <v>145</v>
      </c>
    </row>
    <row r="26" spans="1:8" ht="51.75" customHeight="1" x14ac:dyDescent="0.3">
      <c r="A26" s="14" t="s">
        <v>146</v>
      </c>
      <c r="B26" s="14" t="s">
        <v>133</v>
      </c>
      <c r="C26" s="12" t="s">
        <v>134</v>
      </c>
      <c r="D26" s="12" t="s">
        <v>147</v>
      </c>
      <c r="E26" s="12" t="s">
        <v>148</v>
      </c>
      <c r="F26" s="15" t="s">
        <v>51</v>
      </c>
      <c r="G26" s="16" t="s">
        <v>63</v>
      </c>
      <c r="H26" s="12" t="s">
        <v>149</v>
      </c>
    </row>
    <row r="27" spans="1:8" ht="37.5" customHeight="1" x14ac:dyDescent="0.3">
      <c r="A27" s="14" t="s">
        <v>150</v>
      </c>
      <c r="B27" s="14" t="s">
        <v>151</v>
      </c>
      <c r="C27" s="12" t="s">
        <v>152</v>
      </c>
      <c r="D27" s="12" t="s">
        <v>153</v>
      </c>
      <c r="E27" s="12" t="s">
        <v>154</v>
      </c>
      <c r="F27" s="16" t="s">
        <v>62</v>
      </c>
      <c r="G27" s="16" t="s">
        <v>63</v>
      </c>
      <c r="H27" s="12" t="s">
        <v>155</v>
      </c>
    </row>
    <row r="28" spans="1:8" ht="51.75" customHeight="1" x14ac:dyDescent="0.3">
      <c r="A28" s="14" t="s">
        <v>156</v>
      </c>
      <c r="B28" s="14" t="s">
        <v>151</v>
      </c>
      <c r="C28" s="12" t="s">
        <v>152</v>
      </c>
      <c r="D28" s="12" t="s">
        <v>157</v>
      </c>
      <c r="E28" s="12" t="s">
        <v>158</v>
      </c>
      <c r="F28" s="16" t="s">
        <v>62</v>
      </c>
      <c r="G28" s="15" t="s">
        <v>52</v>
      </c>
      <c r="H28" s="12" t="s">
        <v>159</v>
      </c>
    </row>
    <row r="29" spans="1:8" ht="37.5" customHeight="1" x14ac:dyDescent="0.3">
      <c r="A29" s="14" t="s">
        <v>160</v>
      </c>
      <c r="B29" s="14" t="s">
        <v>151</v>
      </c>
      <c r="C29" s="12" t="s">
        <v>152</v>
      </c>
      <c r="D29" s="12" t="s">
        <v>161</v>
      </c>
      <c r="E29" s="12" t="s">
        <v>162</v>
      </c>
      <c r="F29" s="15" t="s">
        <v>51</v>
      </c>
      <c r="G29" s="17" t="s">
        <v>74</v>
      </c>
      <c r="H29" s="12" t="s">
        <v>163</v>
      </c>
    </row>
    <row r="30" spans="1:8" ht="37.5" customHeight="1" x14ac:dyDescent="0.3">
      <c r="A30" s="14" t="s">
        <v>164</v>
      </c>
      <c r="B30" s="14" t="s">
        <v>151</v>
      </c>
      <c r="C30" s="12" t="s">
        <v>152</v>
      </c>
      <c r="D30" s="12" t="s">
        <v>165</v>
      </c>
      <c r="E30" s="12" t="s">
        <v>166</v>
      </c>
      <c r="F30" s="16" t="s">
        <v>62</v>
      </c>
      <c r="G30" s="16" t="s">
        <v>63</v>
      </c>
      <c r="H30" s="12" t="s">
        <v>167</v>
      </c>
    </row>
    <row r="31" spans="1:8" ht="37.5" customHeight="1" x14ac:dyDescent="0.3">
      <c r="A31" s="14" t="s">
        <v>168</v>
      </c>
      <c r="B31" s="14" t="s">
        <v>169</v>
      </c>
      <c r="C31" s="12" t="s">
        <v>170</v>
      </c>
      <c r="D31" s="12" t="s">
        <v>171</v>
      </c>
      <c r="E31" s="12" t="s">
        <v>172</v>
      </c>
      <c r="F31" s="15" t="s">
        <v>51</v>
      </c>
      <c r="G31" s="16" t="s">
        <v>63</v>
      </c>
      <c r="H31" s="12" t="s">
        <v>173</v>
      </c>
    </row>
    <row r="32" spans="1:8" ht="37.5" customHeight="1" x14ac:dyDescent="0.3">
      <c r="A32" s="14" t="s">
        <v>174</v>
      </c>
      <c r="B32" s="14" t="s">
        <v>169</v>
      </c>
      <c r="C32" s="12" t="s">
        <v>170</v>
      </c>
      <c r="D32" s="12" t="s">
        <v>175</v>
      </c>
      <c r="E32" s="12" t="s">
        <v>176</v>
      </c>
      <c r="F32" s="15" t="s">
        <v>51</v>
      </c>
      <c r="G32" s="16" t="s">
        <v>63</v>
      </c>
      <c r="H32" s="12" t="s">
        <v>177</v>
      </c>
    </row>
    <row r="33" spans="1:8" ht="37.5" customHeight="1" x14ac:dyDescent="0.3">
      <c r="A33" s="14" t="s">
        <v>178</v>
      </c>
      <c r="B33" s="14" t="s">
        <v>169</v>
      </c>
      <c r="C33" s="12" t="s">
        <v>170</v>
      </c>
      <c r="D33" s="12" t="s">
        <v>179</v>
      </c>
      <c r="E33" s="12" t="s">
        <v>180</v>
      </c>
      <c r="F33" s="15" t="s">
        <v>51</v>
      </c>
      <c r="G33" s="17" t="s">
        <v>74</v>
      </c>
      <c r="H33" s="12" t="s">
        <v>181</v>
      </c>
    </row>
    <row r="34" spans="1:8" ht="37.5" customHeight="1" x14ac:dyDescent="0.3">
      <c r="A34" s="14" t="s">
        <v>182</v>
      </c>
      <c r="B34" s="14" t="s">
        <v>183</v>
      </c>
      <c r="C34" s="12" t="s">
        <v>184</v>
      </c>
      <c r="D34" s="12" t="s">
        <v>185</v>
      </c>
      <c r="E34" s="12" t="s">
        <v>186</v>
      </c>
      <c r="F34" s="16" t="s">
        <v>62</v>
      </c>
      <c r="G34" s="17" t="s">
        <v>74</v>
      </c>
      <c r="H34" s="12" t="s">
        <v>187</v>
      </c>
    </row>
    <row r="35" spans="1:8" ht="37.5" customHeight="1" x14ac:dyDescent="0.3">
      <c r="A35" s="14" t="s">
        <v>188</v>
      </c>
      <c r="B35" s="14" t="s">
        <v>183</v>
      </c>
      <c r="C35" s="12" t="s">
        <v>184</v>
      </c>
      <c r="D35" s="12" t="s">
        <v>189</v>
      </c>
      <c r="E35" s="12" t="s">
        <v>190</v>
      </c>
      <c r="F35" s="16" t="s">
        <v>62</v>
      </c>
      <c r="G35" s="16" t="s">
        <v>63</v>
      </c>
      <c r="H35" s="12" t="s">
        <v>191</v>
      </c>
    </row>
    <row r="36" spans="1:8" ht="37.5" customHeight="1" x14ac:dyDescent="0.3">
      <c r="A36" s="14" t="s">
        <v>192</v>
      </c>
      <c r="B36" s="14" t="s">
        <v>183</v>
      </c>
      <c r="C36" s="12" t="s">
        <v>184</v>
      </c>
      <c r="D36" s="12" t="s">
        <v>193</v>
      </c>
      <c r="E36" s="12" t="s">
        <v>194</v>
      </c>
      <c r="F36" s="15" t="s">
        <v>51</v>
      </c>
      <c r="G36" s="16" t="s">
        <v>63</v>
      </c>
      <c r="H36" s="12" t="s">
        <v>195</v>
      </c>
    </row>
    <row r="37" spans="1:8" ht="37.5" customHeight="1" x14ac:dyDescent="0.3">
      <c r="A37" s="14" t="s">
        <v>196</v>
      </c>
      <c r="B37" s="14" t="s">
        <v>183</v>
      </c>
      <c r="C37" s="12" t="s">
        <v>184</v>
      </c>
      <c r="D37" s="12" t="s">
        <v>197</v>
      </c>
      <c r="E37" s="12" t="s">
        <v>198</v>
      </c>
      <c r="F37" s="16" t="s">
        <v>62</v>
      </c>
      <c r="G37" s="17" t="s">
        <v>74</v>
      </c>
      <c r="H37" s="12" t="s">
        <v>199</v>
      </c>
    </row>
    <row r="38" spans="1:8" ht="37.5" customHeight="1" x14ac:dyDescent="0.3">
      <c r="A38" s="14" t="s">
        <v>200</v>
      </c>
      <c r="B38" s="14" t="s">
        <v>201</v>
      </c>
      <c r="C38" s="12" t="s">
        <v>202</v>
      </c>
      <c r="D38" s="12" t="s">
        <v>203</v>
      </c>
      <c r="E38" s="12" t="s">
        <v>204</v>
      </c>
      <c r="F38" s="15" t="s">
        <v>51</v>
      </c>
      <c r="G38" s="16" t="s">
        <v>63</v>
      </c>
      <c r="H38" s="12" t="s">
        <v>205</v>
      </c>
    </row>
    <row r="39" spans="1:8" ht="51.75" customHeight="1" x14ac:dyDescent="0.3">
      <c r="A39" s="14" t="s">
        <v>206</v>
      </c>
      <c r="B39" s="14" t="s">
        <v>201</v>
      </c>
      <c r="C39" s="12" t="s">
        <v>202</v>
      </c>
      <c r="D39" s="12" t="s">
        <v>207</v>
      </c>
      <c r="E39" s="12" t="s">
        <v>208</v>
      </c>
      <c r="F39" s="17" t="s">
        <v>115</v>
      </c>
      <c r="G39" s="17" t="s">
        <v>74</v>
      </c>
      <c r="H39" s="12" t="s">
        <v>209</v>
      </c>
    </row>
    <row r="40" spans="1:8" ht="51.75" customHeight="1" x14ac:dyDescent="0.3">
      <c r="A40" s="14" t="s">
        <v>210</v>
      </c>
      <c r="B40" s="14" t="s">
        <v>201</v>
      </c>
      <c r="C40" s="12" t="s">
        <v>202</v>
      </c>
      <c r="D40" s="12" t="s">
        <v>211</v>
      </c>
      <c r="E40" s="12" t="s">
        <v>212</v>
      </c>
      <c r="F40" s="16" t="s">
        <v>62</v>
      </c>
      <c r="G40" s="15" t="s">
        <v>52</v>
      </c>
      <c r="H40" s="12" t="s">
        <v>213</v>
      </c>
    </row>
    <row r="41" spans="1:8" ht="51.75" customHeight="1" x14ac:dyDescent="0.3">
      <c r="A41" s="14" t="s">
        <v>214</v>
      </c>
      <c r="B41" s="14" t="s">
        <v>215</v>
      </c>
      <c r="C41" s="12" t="s">
        <v>216</v>
      </c>
      <c r="D41" s="12" t="s">
        <v>217</v>
      </c>
      <c r="E41" s="12" t="s">
        <v>218</v>
      </c>
      <c r="F41" s="16" t="s">
        <v>62</v>
      </c>
      <c r="G41" s="15" t="s">
        <v>52</v>
      </c>
      <c r="H41" s="12" t="s">
        <v>219</v>
      </c>
    </row>
    <row r="42" spans="1:8" ht="37.5" customHeight="1" x14ac:dyDescent="0.3">
      <c r="A42" s="14" t="s">
        <v>220</v>
      </c>
      <c r="B42" s="14" t="s">
        <v>215</v>
      </c>
      <c r="C42" s="12" t="s">
        <v>216</v>
      </c>
      <c r="D42" s="12" t="s">
        <v>221</v>
      </c>
      <c r="E42" s="12" t="s">
        <v>222</v>
      </c>
      <c r="F42" s="16" t="s">
        <v>62</v>
      </c>
      <c r="G42" s="15" t="s">
        <v>52</v>
      </c>
      <c r="H42" s="12" t="s">
        <v>223</v>
      </c>
    </row>
    <row r="43" spans="1:8" ht="37.5" customHeight="1" x14ac:dyDescent="0.3">
      <c r="A43" s="14" t="s">
        <v>224</v>
      </c>
      <c r="B43" s="14" t="s">
        <v>215</v>
      </c>
      <c r="C43" s="12" t="s">
        <v>216</v>
      </c>
      <c r="D43" s="12" t="s">
        <v>225</v>
      </c>
      <c r="E43" s="12" t="s">
        <v>226</v>
      </c>
      <c r="F43" s="15" t="s">
        <v>51</v>
      </c>
      <c r="G43" s="16" t="s">
        <v>63</v>
      </c>
      <c r="H43" s="12" t="s">
        <v>227</v>
      </c>
    </row>
    <row r="44" spans="1:8" ht="37.5" customHeight="1" x14ac:dyDescent="0.3">
      <c r="A44" s="14" t="s">
        <v>228</v>
      </c>
      <c r="B44" s="14" t="s">
        <v>215</v>
      </c>
      <c r="C44" s="12" t="s">
        <v>216</v>
      </c>
      <c r="D44" s="12" t="s">
        <v>229</v>
      </c>
      <c r="E44" s="12" t="s">
        <v>230</v>
      </c>
      <c r="F44" s="16" t="s">
        <v>62</v>
      </c>
      <c r="G44" s="16" t="s">
        <v>63</v>
      </c>
      <c r="H44" s="12" t="s">
        <v>231</v>
      </c>
    </row>
    <row r="45" spans="1:8" ht="37.5" customHeight="1" x14ac:dyDescent="0.3">
      <c r="A45" s="14" t="s">
        <v>232</v>
      </c>
      <c r="B45" s="14" t="s">
        <v>215</v>
      </c>
      <c r="C45" s="12" t="s">
        <v>216</v>
      </c>
      <c r="D45" s="12" t="s">
        <v>233</v>
      </c>
      <c r="E45" s="12" t="s">
        <v>234</v>
      </c>
      <c r="F45" s="15" t="s">
        <v>51</v>
      </c>
      <c r="G45" s="16" t="s">
        <v>63</v>
      </c>
      <c r="H45" s="12" t="s">
        <v>235</v>
      </c>
    </row>
    <row r="46" spans="1:8" ht="37.5" customHeight="1" x14ac:dyDescent="0.3">
      <c r="A46" s="14" t="s">
        <v>236</v>
      </c>
      <c r="B46" s="14" t="s">
        <v>237</v>
      </c>
      <c r="C46" s="12" t="s">
        <v>238</v>
      </c>
      <c r="D46" s="12" t="s">
        <v>239</v>
      </c>
      <c r="E46" s="12" t="s">
        <v>240</v>
      </c>
      <c r="F46" s="16" t="s">
        <v>62</v>
      </c>
      <c r="G46" s="15" t="s">
        <v>52</v>
      </c>
      <c r="H46" s="12" t="s">
        <v>241</v>
      </c>
    </row>
    <row r="47" spans="1:8" ht="51.75" customHeight="1" x14ac:dyDescent="0.3">
      <c r="A47" s="14" t="s">
        <v>242</v>
      </c>
      <c r="B47" s="14" t="s">
        <v>237</v>
      </c>
      <c r="C47" s="12" t="s">
        <v>238</v>
      </c>
      <c r="D47" s="12" t="s">
        <v>243</v>
      </c>
      <c r="E47" s="12" t="s">
        <v>244</v>
      </c>
      <c r="F47" s="16" t="s">
        <v>62</v>
      </c>
      <c r="G47" s="16" t="s">
        <v>63</v>
      </c>
      <c r="H47" s="12" t="s">
        <v>245</v>
      </c>
    </row>
    <row r="48" spans="1:8" ht="51.75" customHeight="1" x14ac:dyDescent="0.3">
      <c r="A48" s="14" t="s">
        <v>246</v>
      </c>
      <c r="B48" s="14" t="s">
        <v>237</v>
      </c>
      <c r="C48" s="12" t="s">
        <v>238</v>
      </c>
      <c r="D48" s="12" t="s">
        <v>247</v>
      </c>
      <c r="E48" s="12" t="s">
        <v>248</v>
      </c>
      <c r="F48" s="16" t="s">
        <v>62</v>
      </c>
      <c r="G48" s="17" t="s">
        <v>74</v>
      </c>
      <c r="H48" s="12" t="s">
        <v>249</v>
      </c>
    </row>
    <row r="49" spans="1:8" ht="51.75" customHeight="1" x14ac:dyDescent="0.3">
      <c r="A49" s="14" t="s">
        <v>250</v>
      </c>
      <c r="B49" s="14" t="s">
        <v>237</v>
      </c>
      <c r="C49" s="12" t="s">
        <v>238</v>
      </c>
      <c r="D49" s="12" t="s">
        <v>251</v>
      </c>
      <c r="E49" s="12" t="s">
        <v>252</v>
      </c>
      <c r="F49" s="15" t="s">
        <v>51</v>
      </c>
      <c r="G49" s="16" t="s">
        <v>63</v>
      </c>
      <c r="H49" s="12" t="s">
        <v>253</v>
      </c>
    </row>
    <row r="50" spans="1:8" ht="51.75" customHeight="1" x14ac:dyDescent="0.3">
      <c r="A50" s="14" t="s">
        <v>254</v>
      </c>
      <c r="B50" s="14" t="s">
        <v>255</v>
      </c>
      <c r="C50" s="12" t="s">
        <v>256</v>
      </c>
      <c r="D50" s="12" t="s">
        <v>257</v>
      </c>
      <c r="E50" s="12" t="s">
        <v>258</v>
      </c>
      <c r="F50" s="15" t="s">
        <v>51</v>
      </c>
      <c r="G50" s="15" t="s">
        <v>52</v>
      </c>
      <c r="H50" s="12" t="s">
        <v>259</v>
      </c>
    </row>
    <row r="51" spans="1:8" ht="51.75" customHeight="1" x14ac:dyDescent="0.3">
      <c r="A51" s="14" t="s">
        <v>260</v>
      </c>
      <c r="B51" s="14" t="s">
        <v>261</v>
      </c>
      <c r="C51" s="12" t="s">
        <v>256</v>
      </c>
      <c r="D51" s="12" t="s">
        <v>262</v>
      </c>
      <c r="E51" s="12" t="s">
        <v>263</v>
      </c>
      <c r="F51" s="15" t="s">
        <v>51</v>
      </c>
      <c r="G51" s="15" t="s">
        <v>52</v>
      </c>
      <c r="H51" s="12" t="s">
        <v>264</v>
      </c>
    </row>
    <row r="52" spans="1:8" ht="51.75" customHeight="1" x14ac:dyDescent="0.3">
      <c r="A52" s="14" t="s">
        <v>265</v>
      </c>
      <c r="B52" s="14" t="s">
        <v>266</v>
      </c>
      <c r="C52" s="12" t="s">
        <v>256</v>
      </c>
      <c r="D52" s="12" t="s">
        <v>267</v>
      </c>
      <c r="E52" s="12" t="s">
        <v>268</v>
      </c>
      <c r="F52" s="15" t="s">
        <v>51</v>
      </c>
      <c r="G52" s="16" t="s">
        <v>63</v>
      </c>
      <c r="H52" s="12" t="s">
        <v>269</v>
      </c>
    </row>
    <row r="53" spans="1:8" ht="37.5" customHeight="1" x14ac:dyDescent="0.3">
      <c r="A53" s="14" t="s">
        <v>270</v>
      </c>
      <c r="B53" s="14" t="s">
        <v>271</v>
      </c>
      <c r="C53" s="12" t="s">
        <v>256</v>
      </c>
      <c r="D53" s="12" t="s">
        <v>272</v>
      </c>
      <c r="E53" s="12" t="s">
        <v>273</v>
      </c>
      <c r="F53" s="15" t="s">
        <v>51</v>
      </c>
      <c r="G53" s="16" t="s">
        <v>63</v>
      </c>
      <c r="H53" s="12" t="s">
        <v>274</v>
      </c>
    </row>
    <row r="54" spans="1:8" ht="51.75" customHeight="1" x14ac:dyDescent="0.3">
      <c r="A54" s="14" t="s">
        <v>275</v>
      </c>
      <c r="B54" s="14" t="s">
        <v>276</v>
      </c>
      <c r="C54" s="12" t="s">
        <v>277</v>
      </c>
      <c r="D54" s="12" t="s">
        <v>278</v>
      </c>
      <c r="E54" s="12" t="s">
        <v>279</v>
      </c>
      <c r="F54" s="15" t="s">
        <v>51</v>
      </c>
      <c r="G54" s="16" t="s">
        <v>63</v>
      </c>
      <c r="H54" s="12" t="s">
        <v>280</v>
      </c>
    </row>
    <row r="55" spans="1:8" ht="51.75" customHeight="1" x14ac:dyDescent="0.3">
      <c r="A55" s="14" t="s">
        <v>281</v>
      </c>
      <c r="B55" s="14" t="s">
        <v>282</v>
      </c>
      <c r="C55" s="12" t="s">
        <v>277</v>
      </c>
      <c r="D55" s="12" t="s">
        <v>283</v>
      </c>
      <c r="E55" s="12" t="s">
        <v>284</v>
      </c>
      <c r="F55" s="15" t="s">
        <v>51</v>
      </c>
      <c r="G55" s="17" t="s">
        <v>74</v>
      </c>
      <c r="H55" s="12" t="s">
        <v>285</v>
      </c>
    </row>
  </sheetData>
  <autoFilter ref="A4:H55" xr:uid="{00000000-0009-0000-0000-000001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abSelected="1" zoomScaleNormal="10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9" customWidth="1"/>
    <col min="2" max="2" width="72" customWidth="1"/>
    <col min="3" max="3" width="17" customWidth="1"/>
    <col min="4" max="4" width="18" customWidth="1"/>
    <col min="5" max="7" width="10" customWidth="1"/>
  </cols>
  <sheetData>
    <row r="1" spans="1:8" ht="17.25" customHeight="1" x14ac:dyDescent="0.3">
      <c r="A1" s="4" t="s">
        <v>286</v>
      </c>
      <c r="B1" s="4"/>
      <c r="C1" s="4"/>
      <c r="D1" s="4"/>
      <c r="E1" s="4"/>
      <c r="F1" s="4"/>
      <c r="G1" s="4"/>
      <c r="H1" s="4"/>
    </row>
    <row r="2" spans="1:8" ht="15" customHeight="1" x14ac:dyDescent="0.3">
      <c r="A2" s="3" t="s">
        <v>287</v>
      </c>
      <c r="B2" s="3"/>
      <c r="C2" s="3"/>
      <c r="D2" s="3"/>
      <c r="E2" s="3"/>
      <c r="F2" s="3"/>
      <c r="G2" s="3"/>
      <c r="H2" s="3"/>
    </row>
    <row r="4" spans="1:8" ht="30" customHeight="1" x14ac:dyDescent="0.3">
      <c r="A4" s="13" t="s">
        <v>38</v>
      </c>
      <c r="B4" s="13" t="s">
        <v>288</v>
      </c>
      <c r="C4" s="13" t="s">
        <v>289</v>
      </c>
      <c r="D4" s="13" t="s">
        <v>290</v>
      </c>
      <c r="E4" s="13" t="s">
        <v>291</v>
      </c>
      <c r="F4" s="13" t="s">
        <v>292</v>
      </c>
      <c r="G4" s="13" t="s">
        <v>293</v>
      </c>
    </row>
    <row r="5" spans="1:8" ht="37.5" customHeight="1" x14ac:dyDescent="0.3">
      <c r="A5" s="14" t="s">
        <v>46</v>
      </c>
      <c r="B5" s="12" t="s">
        <v>294</v>
      </c>
      <c r="C5" s="14" t="s">
        <v>295</v>
      </c>
      <c r="D5" s="12" t="s">
        <v>296</v>
      </c>
      <c r="E5" s="15" t="s">
        <v>297</v>
      </c>
      <c r="F5" s="14" t="s">
        <v>74</v>
      </c>
      <c r="G5" s="14" t="s">
        <v>298</v>
      </c>
    </row>
    <row r="6" spans="1:8" ht="37.5" customHeight="1" x14ac:dyDescent="0.3">
      <c r="A6" s="14" t="s">
        <v>54</v>
      </c>
      <c r="B6" s="12" t="s">
        <v>299</v>
      </c>
      <c r="C6" s="14" t="s">
        <v>300</v>
      </c>
      <c r="D6" s="12" t="s">
        <v>301</v>
      </c>
      <c r="E6" s="15" t="s">
        <v>297</v>
      </c>
      <c r="F6" s="14" t="s">
        <v>74</v>
      </c>
      <c r="G6" s="14" t="s">
        <v>298</v>
      </c>
    </row>
    <row r="7" spans="1:8" ht="51.75" customHeight="1" x14ac:dyDescent="0.3">
      <c r="A7" s="14" t="s">
        <v>76</v>
      </c>
      <c r="B7" s="12" t="s">
        <v>302</v>
      </c>
      <c r="C7" s="14" t="s">
        <v>303</v>
      </c>
      <c r="D7" s="12" t="s">
        <v>301</v>
      </c>
      <c r="E7" s="15" t="s">
        <v>297</v>
      </c>
      <c r="F7" s="14" t="s">
        <v>63</v>
      </c>
      <c r="G7" s="14" t="s">
        <v>298</v>
      </c>
    </row>
    <row r="8" spans="1:8" ht="37.5" customHeight="1" x14ac:dyDescent="0.3">
      <c r="A8" s="14" t="s">
        <v>80</v>
      </c>
      <c r="B8" s="12" t="s">
        <v>304</v>
      </c>
      <c r="C8" s="14" t="s">
        <v>305</v>
      </c>
      <c r="D8" s="12" t="s">
        <v>301</v>
      </c>
      <c r="E8" s="15" t="s">
        <v>297</v>
      </c>
      <c r="F8" s="14" t="s">
        <v>74</v>
      </c>
      <c r="G8" s="14" t="s">
        <v>298</v>
      </c>
    </row>
    <row r="9" spans="1:8" ht="66" customHeight="1" x14ac:dyDescent="0.3">
      <c r="A9" s="14" t="s">
        <v>254</v>
      </c>
      <c r="B9" s="12" t="s">
        <v>306</v>
      </c>
      <c r="C9" s="14" t="s">
        <v>307</v>
      </c>
      <c r="D9" s="12" t="s">
        <v>308</v>
      </c>
      <c r="E9" s="15" t="s">
        <v>297</v>
      </c>
      <c r="F9" s="14" t="s">
        <v>63</v>
      </c>
      <c r="G9" s="14" t="s">
        <v>298</v>
      </c>
    </row>
    <row r="10" spans="1:8" ht="24" customHeight="1" x14ac:dyDescent="0.3">
      <c r="A10" s="14" t="s">
        <v>236</v>
      </c>
      <c r="B10" s="12" t="s">
        <v>309</v>
      </c>
      <c r="C10" s="14" t="s">
        <v>310</v>
      </c>
      <c r="D10" s="12" t="s">
        <v>311</v>
      </c>
      <c r="E10" s="15" t="s">
        <v>297</v>
      </c>
      <c r="F10" s="14" t="s">
        <v>74</v>
      </c>
      <c r="G10" s="14" t="s">
        <v>298</v>
      </c>
    </row>
    <row r="11" spans="1:8" ht="37.5" customHeight="1" x14ac:dyDescent="0.3">
      <c r="A11" s="14" t="s">
        <v>117</v>
      </c>
      <c r="B11" s="12" t="s">
        <v>312</v>
      </c>
      <c r="C11" s="14" t="s">
        <v>313</v>
      </c>
      <c r="D11" s="12" t="s">
        <v>311</v>
      </c>
      <c r="E11" s="15" t="s">
        <v>297</v>
      </c>
      <c r="F11" s="14" t="s">
        <v>63</v>
      </c>
      <c r="G11" s="14" t="s">
        <v>298</v>
      </c>
    </row>
    <row r="12" spans="1:8" ht="37.5" customHeight="1" x14ac:dyDescent="0.3">
      <c r="A12" s="14" t="s">
        <v>214</v>
      </c>
      <c r="B12" s="12" t="s">
        <v>314</v>
      </c>
      <c r="C12" s="14" t="s">
        <v>315</v>
      </c>
      <c r="D12" s="12" t="s">
        <v>316</v>
      </c>
      <c r="E12" s="15" t="s">
        <v>297</v>
      </c>
      <c r="F12" s="14" t="s">
        <v>74</v>
      </c>
      <c r="G12" s="14" t="s">
        <v>298</v>
      </c>
    </row>
    <row r="13" spans="1:8" ht="37.5" customHeight="1" x14ac:dyDescent="0.3">
      <c r="A13" s="14" t="s">
        <v>210</v>
      </c>
      <c r="B13" s="12" t="s">
        <v>317</v>
      </c>
      <c r="C13" s="14" t="s">
        <v>318</v>
      </c>
      <c r="D13" s="12" t="s">
        <v>311</v>
      </c>
      <c r="E13" s="15" t="s">
        <v>297</v>
      </c>
      <c r="F13" s="14" t="s">
        <v>63</v>
      </c>
      <c r="G13" s="14" t="s">
        <v>319</v>
      </c>
    </row>
    <row r="14" spans="1:8" ht="51.75" customHeight="1" x14ac:dyDescent="0.3">
      <c r="A14" s="14" t="s">
        <v>88</v>
      </c>
      <c r="B14" s="12" t="s">
        <v>320</v>
      </c>
      <c r="C14" s="14" t="s">
        <v>321</v>
      </c>
      <c r="D14" s="12" t="s">
        <v>301</v>
      </c>
      <c r="E14" s="16" t="s">
        <v>322</v>
      </c>
      <c r="F14" s="14" t="s">
        <v>63</v>
      </c>
      <c r="G14" s="14" t="s">
        <v>319</v>
      </c>
    </row>
    <row r="15" spans="1:8" ht="37.5" customHeight="1" x14ac:dyDescent="0.3">
      <c r="A15" s="14" t="s">
        <v>94</v>
      </c>
      <c r="B15" s="12" t="s">
        <v>323</v>
      </c>
      <c r="C15" s="14" t="s">
        <v>324</v>
      </c>
      <c r="D15" s="12" t="s">
        <v>311</v>
      </c>
      <c r="E15" s="16" t="s">
        <v>322</v>
      </c>
      <c r="F15" s="14" t="s">
        <v>52</v>
      </c>
      <c r="G15" s="14" t="s">
        <v>325</v>
      </c>
    </row>
    <row r="16" spans="1:8" ht="37.5" customHeight="1" x14ac:dyDescent="0.3">
      <c r="A16" s="14" t="s">
        <v>220</v>
      </c>
      <c r="B16" s="12" t="s">
        <v>326</v>
      </c>
      <c r="C16" s="14" t="s">
        <v>327</v>
      </c>
      <c r="D16" s="12" t="s">
        <v>311</v>
      </c>
      <c r="E16" s="16" t="s">
        <v>322</v>
      </c>
      <c r="F16" s="14" t="s">
        <v>63</v>
      </c>
      <c r="G16" s="14" t="s">
        <v>319</v>
      </c>
    </row>
    <row r="17" spans="1:7" ht="51.75" customHeight="1" x14ac:dyDescent="0.3">
      <c r="A17" s="14" t="s">
        <v>138</v>
      </c>
      <c r="B17" s="12" t="s">
        <v>328</v>
      </c>
      <c r="C17" s="14" t="s">
        <v>329</v>
      </c>
      <c r="D17" s="12" t="s">
        <v>330</v>
      </c>
      <c r="E17" s="16" t="s">
        <v>322</v>
      </c>
      <c r="F17" s="14" t="s">
        <v>63</v>
      </c>
      <c r="G17" s="14" t="s">
        <v>319</v>
      </c>
    </row>
    <row r="18" spans="1:7" ht="37.5" customHeight="1" x14ac:dyDescent="0.3">
      <c r="A18" s="14" t="s">
        <v>132</v>
      </c>
      <c r="B18" s="12" t="s">
        <v>331</v>
      </c>
      <c r="C18" s="14" t="s">
        <v>332</v>
      </c>
      <c r="D18" s="12" t="s">
        <v>333</v>
      </c>
      <c r="E18" s="16" t="s">
        <v>322</v>
      </c>
      <c r="F18" s="14" t="s">
        <v>74</v>
      </c>
      <c r="G18" s="14" t="s">
        <v>319</v>
      </c>
    </row>
    <row r="19" spans="1:7" ht="37.5" customHeight="1" x14ac:dyDescent="0.3">
      <c r="A19" s="14" t="s">
        <v>121</v>
      </c>
      <c r="B19" s="12" t="s">
        <v>334</v>
      </c>
      <c r="C19" s="14" t="s">
        <v>335</v>
      </c>
      <c r="D19" s="12" t="s">
        <v>301</v>
      </c>
      <c r="E19" s="16" t="s">
        <v>322</v>
      </c>
      <c r="F19" s="14" t="s">
        <v>63</v>
      </c>
      <c r="G19" s="14" t="s">
        <v>319</v>
      </c>
    </row>
    <row r="20" spans="1:7" ht="51.75" customHeight="1" x14ac:dyDescent="0.3">
      <c r="A20" s="14" t="s">
        <v>156</v>
      </c>
      <c r="B20" s="12" t="s">
        <v>336</v>
      </c>
      <c r="C20" s="14" t="s">
        <v>337</v>
      </c>
      <c r="D20" s="12" t="s">
        <v>311</v>
      </c>
      <c r="E20" s="16" t="s">
        <v>322</v>
      </c>
      <c r="F20" s="14" t="s">
        <v>63</v>
      </c>
      <c r="G20" s="14" t="s">
        <v>319</v>
      </c>
    </row>
    <row r="21" spans="1:7" ht="51.75" customHeight="1" x14ac:dyDescent="0.3">
      <c r="A21" s="14" t="s">
        <v>270</v>
      </c>
      <c r="B21" s="12" t="s">
        <v>338</v>
      </c>
      <c r="C21" s="14" t="s">
        <v>339</v>
      </c>
      <c r="D21" s="12" t="s">
        <v>308</v>
      </c>
      <c r="E21" s="16" t="s">
        <v>322</v>
      </c>
      <c r="F21" s="14" t="s">
        <v>74</v>
      </c>
      <c r="G21" s="14" t="s">
        <v>319</v>
      </c>
    </row>
    <row r="22" spans="1:7" ht="24" customHeight="1" x14ac:dyDescent="0.3">
      <c r="A22" s="14" t="s">
        <v>58</v>
      </c>
      <c r="B22" s="12" t="s">
        <v>340</v>
      </c>
      <c r="C22" s="14" t="s">
        <v>341</v>
      </c>
      <c r="D22" s="12" t="s">
        <v>342</v>
      </c>
      <c r="E22" s="16" t="s">
        <v>322</v>
      </c>
      <c r="F22" s="14" t="s">
        <v>74</v>
      </c>
      <c r="G22" s="14" t="s">
        <v>319</v>
      </c>
    </row>
    <row r="23" spans="1:7" ht="37.5" customHeight="1" x14ac:dyDescent="0.3">
      <c r="A23" s="14" t="s">
        <v>168</v>
      </c>
      <c r="B23" s="12" t="s">
        <v>343</v>
      </c>
      <c r="C23" s="14" t="s">
        <v>344</v>
      </c>
      <c r="D23" s="12" t="s">
        <v>301</v>
      </c>
      <c r="E23" s="17" t="s">
        <v>345</v>
      </c>
      <c r="F23" s="14" t="s">
        <v>63</v>
      </c>
      <c r="G23" s="14" t="s">
        <v>325</v>
      </c>
    </row>
    <row r="24" spans="1:7" ht="37.5" customHeight="1" x14ac:dyDescent="0.3">
      <c r="A24" s="14" t="s">
        <v>102</v>
      </c>
      <c r="B24" s="12" t="s">
        <v>346</v>
      </c>
      <c r="C24" s="14" t="s">
        <v>347</v>
      </c>
      <c r="D24" s="12" t="s">
        <v>301</v>
      </c>
      <c r="E24" s="17" t="s">
        <v>345</v>
      </c>
      <c r="F24" s="14" t="s">
        <v>74</v>
      </c>
      <c r="G24" s="14" t="s">
        <v>325</v>
      </c>
    </row>
    <row r="25" spans="1:7" ht="37.5" customHeight="1" x14ac:dyDescent="0.3">
      <c r="A25" s="14" t="s">
        <v>129</v>
      </c>
      <c r="B25" s="12" t="s">
        <v>348</v>
      </c>
      <c r="C25" s="14" t="s">
        <v>349</v>
      </c>
      <c r="D25" s="12" t="s">
        <v>311</v>
      </c>
      <c r="E25" s="17" t="s">
        <v>345</v>
      </c>
      <c r="F25" s="14" t="s">
        <v>63</v>
      </c>
      <c r="G25" s="14" t="s">
        <v>325</v>
      </c>
    </row>
    <row r="26" spans="1:7" ht="37.5" customHeight="1" x14ac:dyDescent="0.3">
      <c r="A26" s="14" t="s">
        <v>192</v>
      </c>
      <c r="B26" s="12" t="s">
        <v>350</v>
      </c>
      <c r="C26" s="14" t="s">
        <v>351</v>
      </c>
      <c r="D26" s="12" t="s">
        <v>301</v>
      </c>
      <c r="E26" s="17" t="s">
        <v>345</v>
      </c>
      <c r="F26" s="14" t="s">
        <v>74</v>
      </c>
      <c r="G26" s="14" t="s">
        <v>325</v>
      </c>
    </row>
    <row r="27" spans="1:7" ht="37.5" customHeight="1" x14ac:dyDescent="0.3">
      <c r="A27" s="14" t="s">
        <v>224</v>
      </c>
      <c r="B27" s="12" t="s">
        <v>352</v>
      </c>
      <c r="C27" s="14" t="s">
        <v>353</v>
      </c>
      <c r="D27" s="12" t="s">
        <v>354</v>
      </c>
      <c r="E27" s="17" t="s">
        <v>345</v>
      </c>
      <c r="F27" s="14" t="s">
        <v>74</v>
      </c>
      <c r="G27" s="14" t="s">
        <v>325</v>
      </c>
    </row>
    <row r="28" spans="1:7" ht="37.5" customHeight="1" x14ac:dyDescent="0.3">
      <c r="A28" s="14" t="s">
        <v>228</v>
      </c>
      <c r="B28" s="12" t="s">
        <v>355</v>
      </c>
      <c r="C28" s="14" t="s">
        <v>356</v>
      </c>
      <c r="D28" s="12" t="s">
        <v>301</v>
      </c>
      <c r="E28" s="17" t="s">
        <v>345</v>
      </c>
      <c r="F28" s="14" t="s">
        <v>63</v>
      </c>
      <c r="G28" s="14" t="s">
        <v>325</v>
      </c>
    </row>
    <row r="29" spans="1:7" ht="37.5" customHeight="1" x14ac:dyDescent="0.3">
      <c r="A29" s="14" t="s">
        <v>232</v>
      </c>
      <c r="B29" s="12" t="s">
        <v>357</v>
      </c>
      <c r="C29" s="14" t="s">
        <v>358</v>
      </c>
      <c r="D29" s="12" t="s">
        <v>301</v>
      </c>
      <c r="E29" s="17" t="s">
        <v>345</v>
      </c>
      <c r="F29" s="14" t="s">
        <v>74</v>
      </c>
      <c r="G29" s="14" t="s">
        <v>325</v>
      </c>
    </row>
    <row r="30" spans="1:7" ht="37.5" customHeight="1" x14ac:dyDescent="0.3">
      <c r="A30" s="14" t="s">
        <v>150</v>
      </c>
      <c r="B30" s="12" t="s">
        <v>359</v>
      </c>
      <c r="C30" s="14" t="s">
        <v>360</v>
      </c>
      <c r="D30" s="12" t="s">
        <v>361</v>
      </c>
      <c r="E30" s="17" t="s">
        <v>345</v>
      </c>
      <c r="F30" s="14" t="s">
        <v>63</v>
      </c>
      <c r="G30" s="14" t="s">
        <v>362</v>
      </c>
    </row>
    <row r="31" spans="1:7" ht="24" customHeight="1" x14ac:dyDescent="0.3">
      <c r="A31" s="14" t="s">
        <v>160</v>
      </c>
      <c r="B31" s="12" t="s">
        <v>363</v>
      </c>
      <c r="C31" s="14" t="s">
        <v>337</v>
      </c>
      <c r="D31" s="12" t="s">
        <v>361</v>
      </c>
      <c r="E31" s="17" t="s">
        <v>345</v>
      </c>
      <c r="F31" s="14" t="s">
        <v>74</v>
      </c>
      <c r="G31" s="14" t="s">
        <v>325</v>
      </c>
    </row>
    <row r="32" spans="1:7" ht="24" customHeight="1" x14ac:dyDescent="0.3">
      <c r="A32" s="14" t="s">
        <v>164</v>
      </c>
      <c r="B32" s="12" t="s">
        <v>364</v>
      </c>
      <c r="C32" s="14" t="s">
        <v>365</v>
      </c>
      <c r="D32" s="12" t="s">
        <v>311</v>
      </c>
      <c r="E32" s="17" t="s">
        <v>345</v>
      </c>
      <c r="F32" s="14" t="s">
        <v>74</v>
      </c>
      <c r="G32" s="14" t="s">
        <v>362</v>
      </c>
    </row>
    <row r="33" spans="1:7" ht="37.5" customHeight="1" x14ac:dyDescent="0.3">
      <c r="A33" s="14" t="s">
        <v>242</v>
      </c>
      <c r="B33" s="12" t="s">
        <v>366</v>
      </c>
      <c r="C33" s="14" t="s">
        <v>367</v>
      </c>
      <c r="D33" s="12" t="s">
        <v>368</v>
      </c>
      <c r="E33" s="17" t="s">
        <v>345</v>
      </c>
      <c r="F33" s="14" t="s">
        <v>63</v>
      </c>
      <c r="G33" s="14" t="s">
        <v>362</v>
      </c>
    </row>
    <row r="34" spans="1:7" ht="37.5" customHeight="1" x14ac:dyDescent="0.3">
      <c r="A34" s="14" t="s">
        <v>250</v>
      </c>
      <c r="B34" s="12" t="s">
        <v>369</v>
      </c>
      <c r="C34" s="14" t="s">
        <v>370</v>
      </c>
      <c r="D34" s="12" t="s">
        <v>301</v>
      </c>
      <c r="E34" s="17" t="s">
        <v>345</v>
      </c>
      <c r="F34" s="14" t="s">
        <v>74</v>
      </c>
      <c r="G34" s="14" t="s">
        <v>325</v>
      </c>
    </row>
    <row r="35" spans="1:7" ht="37.5" customHeight="1" x14ac:dyDescent="0.3">
      <c r="A35" s="14" t="s">
        <v>125</v>
      </c>
      <c r="B35" s="12" t="s">
        <v>371</v>
      </c>
      <c r="C35" s="14" t="s">
        <v>370</v>
      </c>
      <c r="D35" s="12" t="s">
        <v>342</v>
      </c>
      <c r="E35" s="17" t="s">
        <v>345</v>
      </c>
      <c r="F35" s="14" t="s">
        <v>74</v>
      </c>
      <c r="G35" s="14" t="s">
        <v>325</v>
      </c>
    </row>
    <row r="36" spans="1:7" ht="37.5" customHeight="1" x14ac:dyDescent="0.3">
      <c r="A36" s="14" t="s">
        <v>200</v>
      </c>
      <c r="B36" s="12" t="s">
        <v>372</v>
      </c>
      <c r="C36" s="14" t="s">
        <v>318</v>
      </c>
      <c r="D36" s="12" t="s">
        <v>311</v>
      </c>
      <c r="E36" s="17" t="s">
        <v>345</v>
      </c>
      <c r="F36" s="14" t="s">
        <v>74</v>
      </c>
      <c r="G36" s="14" t="s">
        <v>325</v>
      </c>
    </row>
    <row r="37" spans="1:7" ht="51.75" customHeight="1" x14ac:dyDescent="0.3">
      <c r="A37" s="14" t="s">
        <v>275</v>
      </c>
      <c r="B37" s="12" t="s">
        <v>373</v>
      </c>
      <c r="C37" s="14" t="s">
        <v>374</v>
      </c>
      <c r="D37" s="12" t="s">
        <v>375</v>
      </c>
      <c r="E37" s="16" t="s">
        <v>322</v>
      </c>
      <c r="F37" s="14" t="s">
        <v>74</v>
      </c>
      <c r="G37" s="14" t="s">
        <v>319</v>
      </c>
    </row>
    <row r="38" spans="1:7" ht="24" customHeight="1" x14ac:dyDescent="0.3">
      <c r="A38" s="18"/>
      <c r="B38" s="19"/>
      <c r="C38" s="18"/>
      <c r="D38" s="19"/>
      <c r="E38" s="18"/>
      <c r="F38" s="18"/>
      <c r="G38" s="18"/>
    </row>
  </sheetData>
  <autoFilter ref="A4:G37" xr:uid="{00000000-0009-0000-0000-000002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6" customWidth="1"/>
    <col min="3" max="3" width="20" customWidth="1"/>
    <col min="4" max="4" width="18" customWidth="1"/>
    <col min="5" max="5" width="12" customWidth="1"/>
    <col min="6" max="6" width="16" customWidth="1"/>
  </cols>
  <sheetData>
    <row r="1" spans="1:6" ht="17.25" customHeight="1" x14ac:dyDescent="0.3">
      <c r="A1" s="4" t="s">
        <v>376</v>
      </c>
      <c r="B1" s="4"/>
      <c r="C1" s="4"/>
      <c r="D1" s="4"/>
      <c r="E1" s="4"/>
      <c r="F1" s="4"/>
    </row>
    <row r="2" spans="1:6" ht="15" customHeight="1" x14ac:dyDescent="0.3">
      <c r="A2" s="3" t="s">
        <v>377</v>
      </c>
      <c r="B2" s="3"/>
      <c r="C2" s="3"/>
      <c r="D2" s="3"/>
      <c r="E2" s="3"/>
      <c r="F2" s="3"/>
    </row>
    <row r="4" spans="1:6" ht="24" customHeight="1" x14ac:dyDescent="0.3">
      <c r="A4" s="2" t="s">
        <v>378</v>
      </c>
      <c r="B4" s="2"/>
      <c r="C4" s="2"/>
      <c r="D4" s="2"/>
      <c r="E4" s="2"/>
      <c r="F4" s="2"/>
    </row>
    <row r="5" spans="1:6" ht="24" customHeight="1" x14ac:dyDescent="0.3">
      <c r="A5" s="20" t="s">
        <v>379</v>
      </c>
      <c r="B5" s="21">
        <f>COUNTA('2. Gap Assessment'!$A$5:$A$55)</f>
        <v>51</v>
      </c>
    </row>
    <row r="6" spans="1:6" ht="24" customHeight="1" x14ac:dyDescent="0.3">
      <c r="A6" s="20" t="s">
        <v>115</v>
      </c>
      <c r="B6" s="22">
        <f>COUNTIF('2. Gap Assessment'!$F$5:$F$55,"Compliant")</f>
        <v>2</v>
      </c>
    </row>
    <row r="7" spans="1:6" ht="24" customHeight="1" x14ac:dyDescent="0.3">
      <c r="A7" s="20" t="s">
        <v>62</v>
      </c>
      <c r="B7" s="23">
        <f>COUNTIF('2. Gap Assessment'!$F$5:$F$55,"Partially Compliant")</f>
        <v>19</v>
      </c>
    </row>
    <row r="8" spans="1:6" ht="24" customHeight="1" x14ac:dyDescent="0.3">
      <c r="A8" s="20" t="s">
        <v>51</v>
      </c>
      <c r="B8" s="24">
        <f>COUNTIF('2. Gap Assessment'!$F$5:$F$55,"Non-Compliant")</f>
        <v>30</v>
      </c>
    </row>
    <row r="9" spans="1:6" ht="24" customHeight="1" x14ac:dyDescent="0.3">
      <c r="A9" s="20" t="s">
        <v>380</v>
      </c>
      <c r="B9" s="25">
        <f>(COUNTIF('2. Gap Assessment'!$F$5:$F$55,"Compliant")+0.5*COUNTIF('2. Gap Assessment'!$F$5:$F$55,"Partially Compliant"))/COUNTA('2. Gap Assessment'!$A$5:$A$55)</f>
        <v>0.22549019607843138</v>
      </c>
    </row>
    <row r="10" spans="1:6" ht="24" customHeight="1" x14ac:dyDescent="0.3">
      <c r="A10" s="20" t="s">
        <v>381</v>
      </c>
      <c r="B10" s="24">
        <f>COUNTIF('2. Gap Assessment'!$G$5:$G$55,"High")</f>
        <v>16</v>
      </c>
    </row>
    <row r="12" spans="1:6" ht="24" customHeight="1" x14ac:dyDescent="0.3">
      <c r="A12" s="2" t="s">
        <v>382</v>
      </c>
      <c r="B12" s="2"/>
      <c r="C12" s="2"/>
      <c r="D12" s="2"/>
      <c r="E12" s="2"/>
      <c r="F12" s="2"/>
    </row>
    <row r="13" spans="1:6" ht="24" customHeight="1" x14ac:dyDescent="0.3">
      <c r="A13" s="26" t="s">
        <v>383</v>
      </c>
      <c r="B13" s="13" t="s">
        <v>384</v>
      </c>
      <c r="C13" s="13" t="s">
        <v>115</v>
      </c>
      <c r="D13" s="13" t="s">
        <v>385</v>
      </c>
      <c r="E13" s="13" t="s">
        <v>51</v>
      </c>
      <c r="F13" s="13" t="s">
        <v>386</v>
      </c>
    </row>
    <row r="14" spans="1:6" ht="24" customHeight="1" x14ac:dyDescent="0.3">
      <c r="A14" s="27" t="s">
        <v>48</v>
      </c>
      <c r="B14" s="14">
        <f>COUNTIF('2. Gap Assessment'!$C$5:$C$55,A14)</f>
        <v>4</v>
      </c>
      <c r="C14" s="14">
        <f>COUNTIFS('2. Gap Assessment'!$C$5:$C$55,A14,'2. Gap Assessment'!$F$5:$F$55,"Compliant")</f>
        <v>0</v>
      </c>
      <c r="D14" s="14">
        <f>COUNTIFS('2. Gap Assessment'!$C$5:$C$55,A14,'2. Gap Assessment'!$F$5:$F$55,"Partially Compliant")</f>
        <v>2</v>
      </c>
      <c r="E14" s="14">
        <f>COUNTIFS('2. Gap Assessment'!$C$5:$C$55,A14,'2. Gap Assessment'!$F$5:$F$55,"Non-Compliant")</f>
        <v>2</v>
      </c>
      <c r="F14" s="14">
        <f>COUNTIFS('2. Gap Assessment'!$C$5:$C$55,A14,'2. Gap Assessment'!$G$5:$G$55,"High")</f>
        <v>2</v>
      </c>
    </row>
    <row r="15" spans="1:6" ht="24" customHeight="1" x14ac:dyDescent="0.3">
      <c r="A15" s="27" t="s">
        <v>71</v>
      </c>
      <c r="B15" s="14">
        <f>COUNTIF('2. Gap Assessment'!$C$5:$C$55,A15)</f>
        <v>4</v>
      </c>
      <c r="C15" s="14">
        <f>COUNTIFS('2. Gap Assessment'!$C$5:$C$55,A15,'2. Gap Assessment'!$F$5:$F$55,"Compliant")</f>
        <v>0</v>
      </c>
      <c r="D15" s="14">
        <f>COUNTIFS('2. Gap Assessment'!$C$5:$C$55,A15,'2. Gap Assessment'!$F$5:$F$55,"Partially Compliant")</f>
        <v>1</v>
      </c>
      <c r="E15" s="14">
        <f>COUNTIFS('2. Gap Assessment'!$C$5:$C$55,A15,'2. Gap Assessment'!$F$5:$F$55,"Non-Compliant")</f>
        <v>3</v>
      </c>
      <c r="F15" s="14">
        <f>COUNTIFS('2. Gap Assessment'!$C$5:$C$55,A15,'2. Gap Assessment'!$G$5:$G$55,"High")</f>
        <v>2</v>
      </c>
    </row>
    <row r="16" spans="1:6" ht="24" customHeight="1" x14ac:dyDescent="0.3">
      <c r="A16" s="27" t="s">
        <v>90</v>
      </c>
      <c r="B16" s="14">
        <f>COUNTIF('2. Gap Assessment'!$C$5:$C$55,A16)</f>
        <v>5</v>
      </c>
      <c r="C16" s="14">
        <f>COUNTIFS('2. Gap Assessment'!$C$5:$C$55,A16,'2. Gap Assessment'!$F$5:$F$55,"Compliant")</f>
        <v>0</v>
      </c>
      <c r="D16" s="14">
        <f>COUNTIFS('2. Gap Assessment'!$C$5:$C$55,A16,'2. Gap Assessment'!$F$5:$F$55,"Partially Compliant")</f>
        <v>1</v>
      </c>
      <c r="E16" s="14">
        <f>COUNTIFS('2. Gap Assessment'!$C$5:$C$55,A16,'2. Gap Assessment'!$F$5:$F$55,"Non-Compliant")</f>
        <v>4</v>
      </c>
      <c r="F16" s="14">
        <f>COUNTIFS('2. Gap Assessment'!$C$5:$C$55,A16,'2. Gap Assessment'!$G$5:$G$55,"High")</f>
        <v>2</v>
      </c>
    </row>
    <row r="17" spans="1:6" ht="24" customHeight="1" x14ac:dyDescent="0.3">
      <c r="A17" s="27" t="s">
        <v>112</v>
      </c>
      <c r="B17" s="14">
        <f>COUNTIF('2. Gap Assessment'!$C$5:$C$55,A17)</f>
        <v>5</v>
      </c>
      <c r="C17" s="14">
        <f>COUNTIFS('2. Gap Assessment'!$C$5:$C$55,A17,'2. Gap Assessment'!$F$5:$F$55,"Compliant")</f>
        <v>1</v>
      </c>
      <c r="D17" s="14">
        <f>COUNTIFS('2. Gap Assessment'!$C$5:$C$55,A17,'2. Gap Assessment'!$F$5:$F$55,"Partially Compliant")</f>
        <v>1</v>
      </c>
      <c r="E17" s="14">
        <f>COUNTIFS('2. Gap Assessment'!$C$5:$C$55,A17,'2. Gap Assessment'!$F$5:$F$55,"Non-Compliant")</f>
        <v>3</v>
      </c>
      <c r="F17" s="14">
        <f>COUNTIFS('2. Gap Assessment'!$C$5:$C$55,A17,'2. Gap Assessment'!$G$5:$G$55,"High")</f>
        <v>2</v>
      </c>
    </row>
    <row r="18" spans="1:6" ht="24" customHeight="1" x14ac:dyDescent="0.3">
      <c r="A18" s="27" t="s">
        <v>134</v>
      </c>
      <c r="B18" s="14">
        <f>COUNTIF('2. Gap Assessment'!$C$5:$C$55,A18)</f>
        <v>4</v>
      </c>
      <c r="C18" s="14">
        <f>COUNTIFS('2. Gap Assessment'!$C$5:$C$55,A18,'2. Gap Assessment'!$F$5:$F$55,"Compliant")</f>
        <v>0</v>
      </c>
      <c r="D18" s="14">
        <f>COUNTIFS('2. Gap Assessment'!$C$5:$C$55,A18,'2. Gap Assessment'!$F$5:$F$55,"Partially Compliant")</f>
        <v>1</v>
      </c>
      <c r="E18" s="14">
        <f>COUNTIFS('2. Gap Assessment'!$C$5:$C$55,A18,'2. Gap Assessment'!$F$5:$F$55,"Non-Compliant")</f>
        <v>3</v>
      </c>
      <c r="F18" s="14">
        <f>COUNTIFS('2. Gap Assessment'!$C$5:$C$55,A18,'2. Gap Assessment'!$G$5:$G$55,"High")</f>
        <v>1</v>
      </c>
    </row>
    <row r="19" spans="1:6" ht="24" customHeight="1" x14ac:dyDescent="0.3">
      <c r="A19" s="27" t="s">
        <v>152</v>
      </c>
      <c r="B19" s="14">
        <f>COUNTIF('2. Gap Assessment'!$C$5:$C$55,A19)</f>
        <v>4</v>
      </c>
      <c r="C19" s="14">
        <f>COUNTIFS('2. Gap Assessment'!$C$5:$C$55,A19,'2. Gap Assessment'!$F$5:$F$55,"Compliant")</f>
        <v>0</v>
      </c>
      <c r="D19" s="14">
        <f>COUNTIFS('2. Gap Assessment'!$C$5:$C$55,A19,'2. Gap Assessment'!$F$5:$F$55,"Partially Compliant")</f>
        <v>3</v>
      </c>
      <c r="E19" s="14">
        <f>COUNTIFS('2. Gap Assessment'!$C$5:$C$55,A19,'2. Gap Assessment'!$F$5:$F$55,"Non-Compliant")</f>
        <v>1</v>
      </c>
      <c r="F19" s="14">
        <f>COUNTIFS('2. Gap Assessment'!$C$5:$C$55,A19,'2. Gap Assessment'!$G$5:$G$55,"High")</f>
        <v>1</v>
      </c>
    </row>
    <row r="20" spans="1:6" ht="24" customHeight="1" x14ac:dyDescent="0.3">
      <c r="A20" s="27" t="s">
        <v>170</v>
      </c>
      <c r="B20" s="14">
        <f>COUNTIF('2. Gap Assessment'!$C$5:$C$55,A20)</f>
        <v>3</v>
      </c>
      <c r="C20" s="14">
        <f>COUNTIFS('2. Gap Assessment'!$C$5:$C$55,A20,'2. Gap Assessment'!$F$5:$F$55,"Compliant")</f>
        <v>0</v>
      </c>
      <c r="D20" s="14">
        <f>COUNTIFS('2. Gap Assessment'!$C$5:$C$55,A20,'2. Gap Assessment'!$F$5:$F$55,"Partially Compliant")</f>
        <v>0</v>
      </c>
      <c r="E20" s="14">
        <f>COUNTIFS('2. Gap Assessment'!$C$5:$C$55,A20,'2. Gap Assessment'!$F$5:$F$55,"Non-Compliant")</f>
        <v>3</v>
      </c>
      <c r="F20" s="14">
        <f>COUNTIFS('2. Gap Assessment'!$C$5:$C$55,A20,'2. Gap Assessment'!$G$5:$G$55,"High")</f>
        <v>0</v>
      </c>
    </row>
    <row r="21" spans="1:6" ht="24" customHeight="1" x14ac:dyDescent="0.3">
      <c r="A21" s="27" t="s">
        <v>184</v>
      </c>
      <c r="B21" s="14">
        <f>COUNTIF('2. Gap Assessment'!$C$5:$C$55,A21)</f>
        <v>4</v>
      </c>
      <c r="C21" s="14">
        <f>COUNTIFS('2. Gap Assessment'!$C$5:$C$55,A21,'2. Gap Assessment'!$F$5:$F$55,"Compliant")</f>
        <v>0</v>
      </c>
      <c r="D21" s="14">
        <f>COUNTIFS('2. Gap Assessment'!$C$5:$C$55,A21,'2. Gap Assessment'!$F$5:$F$55,"Partially Compliant")</f>
        <v>3</v>
      </c>
      <c r="E21" s="14">
        <f>COUNTIFS('2. Gap Assessment'!$C$5:$C$55,A21,'2. Gap Assessment'!$F$5:$F$55,"Non-Compliant")</f>
        <v>1</v>
      </c>
      <c r="F21" s="14">
        <f>COUNTIFS('2. Gap Assessment'!$C$5:$C$55,A21,'2. Gap Assessment'!$G$5:$G$55,"High")</f>
        <v>0</v>
      </c>
    </row>
    <row r="22" spans="1:6" ht="24" customHeight="1" x14ac:dyDescent="0.3">
      <c r="A22" s="27" t="s">
        <v>202</v>
      </c>
      <c r="B22" s="14">
        <f>COUNTIF('2. Gap Assessment'!$C$5:$C$55,A22)</f>
        <v>3</v>
      </c>
      <c r="C22" s="14">
        <f>COUNTIFS('2. Gap Assessment'!$C$5:$C$55,A22,'2. Gap Assessment'!$F$5:$F$55,"Compliant")</f>
        <v>1</v>
      </c>
      <c r="D22" s="14">
        <f>COUNTIFS('2. Gap Assessment'!$C$5:$C$55,A22,'2. Gap Assessment'!$F$5:$F$55,"Partially Compliant")</f>
        <v>1</v>
      </c>
      <c r="E22" s="14">
        <f>COUNTIFS('2. Gap Assessment'!$C$5:$C$55,A22,'2. Gap Assessment'!$F$5:$F$55,"Non-Compliant")</f>
        <v>1</v>
      </c>
      <c r="F22" s="14">
        <f>COUNTIFS('2. Gap Assessment'!$C$5:$C$55,A22,'2. Gap Assessment'!$G$5:$G$55,"High")</f>
        <v>1</v>
      </c>
    </row>
    <row r="23" spans="1:6" ht="24" customHeight="1" x14ac:dyDescent="0.3">
      <c r="A23" s="27" t="s">
        <v>216</v>
      </c>
      <c r="B23" s="14">
        <f>COUNTIF('2. Gap Assessment'!$C$5:$C$55,A23)</f>
        <v>5</v>
      </c>
      <c r="C23" s="14">
        <f>COUNTIFS('2. Gap Assessment'!$C$5:$C$55,A23,'2. Gap Assessment'!$F$5:$F$55,"Compliant")</f>
        <v>0</v>
      </c>
      <c r="D23" s="14">
        <f>COUNTIFS('2. Gap Assessment'!$C$5:$C$55,A23,'2. Gap Assessment'!$F$5:$F$55,"Partially Compliant")</f>
        <v>3</v>
      </c>
      <c r="E23" s="14">
        <f>COUNTIFS('2. Gap Assessment'!$C$5:$C$55,A23,'2. Gap Assessment'!$F$5:$F$55,"Non-Compliant")</f>
        <v>2</v>
      </c>
      <c r="F23" s="14">
        <f>COUNTIFS('2. Gap Assessment'!$C$5:$C$55,A23,'2. Gap Assessment'!$G$5:$G$55,"High")</f>
        <v>2</v>
      </c>
    </row>
    <row r="24" spans="1:6" ht="24" customHeight="1" x14ac:dyDescent="0.3">
      <c r="A24" s="27" t="s">
        <v>238</v>
      </c>
      <c r="B24" s="14">
        <f>COUNTIF('2. Gap Assessment'!$C$5:$C$55,A24)</f>
        <v>4</v>
      </c>
      <c r="C24" s="14">
        <f>COUNTIFS('2. Gap Assessment'!$C$5:$C$55,A24,'2. Gap Assessment'!$F$5:$F$55,"Compliant")</f>
        <v>0</v>
      </c>
      <c r="D24" s="14">
        <f>COUNTIFS('2. Gap Assessment'!$C$5:$C$55,A24,'2. Gap Assessment'!$F$5:$F$55,"Partially Compliant")</f>
        <v>3</v>
      </c>
      <c r="E24" s="14">
        <f>COUNTIFS('2. Gap Assessment'!$C$5:$C$55,A24,'2. Gap Assessment'!$F$5:$F$55,"Non-Compliant")</f>
        <v>1</v>
      </c>
      <c r="F24" s="14">
        <f>COUNTIFS('2. Gap Assessment'!$C$5:$C$55,A24,'2. Gap Assessment'!$G$5:$G$55,"High")</f>
        <v>1</v>
      </c>
    </row>
    <row r="25" spans="1:6" ht="24" customHeight="1" x14ac:dyDescent="0.3">
      <c r="A25" s="27" t="s">
        <v>256</v>
      </c>
      <c r="B25" s="14">
        <f>COUNTIF('2. Gap Assessment'!$C$5:$C$55,A25)</f>
        <v>4</v>
      </c>
      <c r="C25" s="14">
        <f>COUNTIFS('2. Gap Assessment'!$C$5:$C$55,A25,'2. Gap Assessment'!$F$5:$F$55,"Compliant")</f>
        <v>0</v>
      </c>
      <c r="D25" s="14">
        <f>COUNTIFS('2. Gap Assessment'!$C$5:$C$55,A25,'2. Gap Assessment'!$F$5:$F$55,"Partially Compliant")</f>
        <v>0</v>
      </c>
      <c r="E25" s="14">
        <f>COUNTIFS('2. Gap Assessment'!$C$5:$C$55,A25,'2. Gap Assessment'!$F$5:$F$55,"Non-Compliant")</f>
        <v>4</v>
      </c>
      <c r="F25" s="14">
        <f>COUNTIFS('2. Gap Assessment'!$C$5:$C$55,A25,'2. Gap Assessment'!$G$5:$G$55,"High")</f>
        <v>2</v>
      </c>
    </row>
    <row r="26" spans="1:6" ht="24" customHeight="1" x14ac:dyDescent="0.3">
      <c r="A26" s="27" t="s">
        <v>277</v>
      </c>
      <c r="B26" s="14">
        <f>COUNTIF('2. Gap Assessment'!$C$5:$C$55,A26)</f>
        <v>2</v>
      </c>
      <c r="C26" s="14">
        <f>COUNTIFS('2. Gap Assessment'!$C$5:$C$55,A26,'2. Gap Assessment'!$F$5:$F$55,"Compliant")</f>
        <v>0</v>
      </c>
      <c r="D26" s="14">
        <f>COUNTIFS('2. Gap Assessment'!$C$5:$C$55,A26,'2. Gap Assessment'!$F$5:$F$55,"Partially Compliant")</f>
        <v>0</v>
      </c>
      <c r="E26" s="14">
        <f>COUNTIFS('2. Gap Assessment'!$C$5:$C$55,A26,'2. Gap Assessment'!$F$5:$F$55,"Non-Compliant")</f>
        <v>2</v>
      </c>
      <c r="F26" s="14">
        <f>COUNTIFS('2. Gap Assessment'!$C$5:$C$55,A26,'2. Gap Assessment'!$G$5:$G$55,"High")</f>
        <v>0</v>
      </c>
    </row>
    <row r="28" spans="1:6" ht="24" customHeight="1" x14ac:dyDescent="0.3">
      <c r="A28" s="2" t="s">
        <v>387</v>
      </c>
      <c r="B28" s="2"/>
      <c r="C28" s="2"/>
      <c r="D28" s="2"/>
      <c r="E28" s="2"/>
      <c r="F28" s="2"/>
    </row>
    <row r="29" spans="1:6" ht="37.5" customHeight="1" x14ac:dyDescent="0.3">
      <c r="A29" s="1" t="s">
        <v>388</v>
      </c>
      <c r="B29" s="1"/>
      <c r="C29" s="1"/>
      <c r="D29" s="1"/>
      <c r="E29" s="1"/>
      <c r="F29" s="1"/>
    </row>
    <row r="30" spans="1:6" ht="37.5" customHeight="1" x14ac:dyDescent="0.3">
      <c r="A30" s="1" t="s">
        <v>389</v>
      </c>
      <c r="B30" s="1"/>
      <c r="C30" s="1"/>
      <c r="D30" s="1"/>
      <c r="E30" s="1"/>
      <c r="F30" s="1"/>
    </row>
    <row r="31" spans="1:6" ht="37.5" customHeight="1" x14ac:dyDescent="0.3">
      <c r="A31" s="1" t="s">
        <v>390</v>
      </c>
      <c r="B31" s="1"/>
      <c r="C31" s="1"/>
      <c r="D31" s="1"/>
      <c r="E31" s="1"/>
      <c r="F31" s="1"/>
    </row>
    <row r="32" spans="1:6" ht="37.5" customHeight="1" x14ac:dyDescent="0.3">
      <c r="A32" s="1" t="s">
        <v>391</v>
      </c>
      <c r="B32" s="1"/>
      <c r="C32" s="1"/>
      <c r="D32" s="1"/>
      <c r="E32" s="1"/>
      <c r="F32" s="1"/>
    </row>
    <row r="33" spans="1:6" ht="37.5" customHeight="1" x14ac:dyDescent="0.3">
      <c r="A33" s="1" t="s">
        <v>392</v>
      </c>
      <c r="B33" s="1"/>
      <c r="C33" s="1"/>
      <c r="D33" s="1"/>
      <c r="E33" s="1"/>
      <c r="F33" s="1"/>
    </row>
  </sheetData>
  <mergeCells count="10">
    <mergeCell ref="A29:F29"/>
    <mergeCell ref="A30:F30"/>
    <mergeCell ref="A31:F31"/>
    <mergeCell ref="A32:F32"/>
    <mergeCell ref="A33:F33"/>
    <mergeCell ref="A1:F1"/>
    <mergeCell ref="A2:F2"/>
    <mergeCell ref="A4:F4"/>
    <mergeCell ref="A12:F12"/>
    <mergeCell ref="A28:F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Assessment Overview</vt:lpstr>
      <vt:lpstr>2. Gap Assessment</vt:lpstr>
      <vt:lpstr>3. Remediation Roadmap</vt:lpstr>
      <vt:lpstr>4. 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bhuvaneswari kundla</cp:lastModifiedBy>
  <cp:revision>0</cp:revision>
  <dcterms:created xsi:type="dcterms:W3CDTF">2026-07-03T12:35:18Z</dcterms:created>
  <dcterms:modified xsi:type="dcterms:W3CDTF">2026-07-03T13:35:13Z</dcterms:modified>
  <dc:language>en-US</dc:language>
</cp:coreProperties>
</file>