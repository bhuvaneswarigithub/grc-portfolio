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6a3e7baeffcee0/Desktop/Project - 3 NIS2 Gap Assessment for a fictional Irish SME/"/>
    </mc:Choice>
  </mc:AlternateContent>
  <xr:revisionPtr revIDLastSave="0" documentId="8_{F4D33DC0-71F8-456D-9B75-53EB7651B37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1. Remediation Roadmap" sheetId="1" r:id="rId1"/>
    <sheet name="2. Roadmap Summary" sheetId="2" r:id="rId2"/>
  </sheets>
  <definedNames>
    <definedName name="_xlnm._FilterDatabase" localSheetId="0" hidden="1">'1. Remediation Roadmap'!$A$4:$H$52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2" l="1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D8" i="2"/>
  <c r="C8" i="2"/>
  <c r="E8" i="2" s="1"/>
  <c r="D7" i="2"/>
  <c r="C7" i="2"/>
  <c r="E7" i="2" s="1"/>
  <c r="D6" i="2"/>
  <c r="C6" i="2"/>
  <c r="E6" i="2" s="1"/>
</calcChain>
</file>

<file path=xl/sharedStrings.xml><?xml version="1.0" encoding="utf-8"?>
<sst xmlns="http://schemas.openxmlformats.org/spreadsheetml/2006/main" count="425" uniqueCount="147">
  <si>
    <t>Remediation Roadmap — HealthNet Ireland Ltd</t>
  </si>
  <si>
    <t>All 48 gaps from Task 4, organised into 3 phases: quick wins &amp; policy fixes (0-3mo) -&gt; process, training &amp; vendor reviews (3-6mo) -&gt; strategic, tooling &amp; cultural change (6-12mo)</t>
  </si>
  <si>
    <t>Ref</t>
  </si>
  <si>
    <t>Domain</t>
  </si>
  <si>
    <t>Remediation Action</t>
  </si>
  <si>
    <t>Priority</t>
  </si>
  <si>
    <t>Phase</t>
  </si>
  <si>
    <t>Timeframe</t>
  </si>
  <si>
    <t>Effort</t>
  </si>
  <si>
    <t>Owner</t>
  </si>
  <si>
    <t>GOV-01</t>
  </si>
  <si>
    <t>Governance &amp; Accountability</t>
  </si>
  <si>
    <t>Present risk-management measures to the board for formal sign-off; record approval in board minutes.</t>
  </si>
  <si>
    <t>High</t>
  </si>
  <si>
    <t>Phase 1</t>
  </si>
  <si>
    <t>0-3 months</t>
  </si>
  <si>
    <t>Low</t>
  </si>
  <si>
    <t>CEO</t>
  </si>
  <si>
    <t>GOV-02</t>
  </si>
  <si>
    <t>Build a quarterly cyber risk dashboard (incidents, top risks, training %, patching status) as a standing board agenda item.</t>
  </si>
  <si>
    <t>IT Manager</t>
  </si>
  <si>
    <t>GOV-03</t>
  </si>
  <si>
    <t>Establish an annual structured cybersecurity training programme for all board members, with attendance tracked.</t>
  </si>
  <si>
    <t>Medium</t>
  </si>
  <si>
    <t>Phase 2</t>
  </si>
  <si>
    <t>3-6 months</t>
  </si>
  <si>
    <t>GOV-04</t>
  </si>
  <si>
    <t>Enforce annual training completion to 100%, with automated reminders and escalation for non-completers.</t>
  </si>
  <si>
    <t>HR</t>
  </si>
  <si>
    <t>RSK-01</t>
  </si>
  <si>
    <t>Risk Analysis &amp; Policies</t>
  </si>
  <si>
    <t>Review and re-approve the Information Security Policy; establish an annual review cycle going forward.</t>
  </si>
  <si>
    <t>RSK-02</t>
  </si>
  <si>
    <t>Adopt a risk assessment methodology (e.g. ISO 27005-aligned) and run the first full risk assessment.</t>
  </si>
  <si>
    <t>RSK-03</t>
  </si>
  <si>
    <t>Build and populate a risk register with owners, scores, and treatment decisions; review quarterly.</t>
  </si>
  <si>
    <t>RSK-04</t>
  </si>
  <si>
    <t>Extend risk assessments to cover physical and environmental hazards (server room access, fire, power).</t>
  </si>
  <si>
    <t>INC-01</t>
  </si>
  <si>
    <t>Incident Handling</t>
  </si>
  <si>
    <t>Develop a full incident response plan: severity classification, roles, escalation paths, and playbooks for ransomware/data breach scenarios.</t>
  </si>
  <si>
    <t>INC-02</t>
  </si>
  <si>
    <t>Consolidate incident detection into a dedicated central incident register, separate from general IT tickets.</t>
  </si>
  <si>
    <t>INC-03</t>
  </si>
  <si>
    <t>Define incident response roles (incl. a deputy) and establish an out-of-hours on-call rota.</t>
  </si>
  <si>
    <t>INC-04</t>
  </si>
  <si>
    <t>Run the first tabletop exercise simulating a realistic incident scenario; capture lessons learned.</t>
  </si>
  <si>
    <t>Phase 3</t>
  </si>
  <si>
    <t>6-12 months</t>
  </si>
  <si>
    <t>INC-05</t>
  </si>
  <si>
    <t>Establish a post-incident review process, with corrective actions tracked to closure.</t>
  </si>
  <si>
    <t>BCM-02</t>
  </si>
  <si>
    <t>Business Continuity &amp; Backup</t>
  </si>
  <si>
    <t>Implement a logically isolated (separate-account or immutable) backup copy; schedule quarterly restore tests.</t>
  </si>
  <si>
    <t>Platform Lead</t>
  </si>
  <si>
    <t>BCM-03</t>
  </si>
  <si>
    <t>Finalise the BC/DR plan; agree RTO/RPO with the business and reflect in customer SLAs.</t>
  </si>
  <si>
    <t>BCM-04</t>
  </si>
  <si>
    <t>Define a crisis management team, decision authority, and communications plan for major incidents.</t>
  </si>
  <si>
    <t>BCM-05</t>
  </si>
  <si>
    <t>Test regional failover in a controlled exercise; validate RTO/RPO against the finalised plan.</t>
  </si>
  <si>
    <t>SCM-01</t>
  </si>
  <si>
    <t>Supply Chain Security</t>
  </si>
  <si>
    <t>Risk-rank the supplier inventory; identify and flag critical ICT suppliers.</t>
  </si>
  <si>
    <t>Ops</t>
  </si>
  <si>
    <t>SCM-02</t>
  </si>
  <si>
    <t>Add a security schedule, audit rights, and 24-hour incident notification clause to all critical supplier contracts at renewal.</t>
  </si>
  <si>
    <t>Legal</t>
  </si>
  <si>
    <t>SCM-03</t>
  </si>
  <si>
    <t>Introduce a due-diligence questionnaire for onboarding new suppliers, with periodic re-assessment.</t>
  </si>
  <si>
    <t>SCM-04</t>
  </si>
  <si>
    <t>Once the risk register exists, formally assess and log supply-chain risk from the 3 critical software suppliers.</t>
  </si>
  <si>
    <t>SDA-01</t>
  </si>
  <si>
    <t>Secure Development &amp; Vulnerability Handling</t>
  </si>
  <si>
    <t>Adopt a secure development standard (OWASP-aligned) with mandatory security review gates in the SDLC.</t>
  </si>
  <si>
    <t>Dev Lead</t>
  </si>
  <si>
    <t>SDA-02</t>
  </si>
  <si>
    <t>Deploy authenticated vulnerability scanning; adopt CVSS-based remediation SLAs (Critical 7 days, High 30 days).</t>
  </si>
  <si>
    <t>SDA-03</t>
  </si>
  <si>
    <t>Publish a coordinated vulnerability disclosure policy and security.txt with a designated contact.</t>
  </si>
  <si>
    <t>SDA-04</t>
  </si>
  <si>
    <t>Schedule an independent annual penetration test; close all open medium-severity findings from 2024.</t>
  </si>
  <si>
    <t>EFF-01</t>
  </si>
  <si>
    <t>Effectiveness Assessment</t>
  </si>
  <si>
    <t>Establish an annual internal control self-assessment programme with defined KPIs.</t>
  </si>
  <si>
    <t>EFF-02</t>
  </si>
  <si>
    <t>Report control effectiveness results to the board alongside the cyber risk dashboard.</t>
  </si>
  <si>
    <t>EFF-03</t>
  </si>
  <si>
    <t>Build a findings and corrective-action register, tracking all issues to closure.</t>
  </si>
  <si>
    <t>HYG-02</t>
  </si>
  <si>
    <t>Cyber Hygiene &amp; Training</t>
  </si>
  <si>
    <t>Introduce periodic phishing simulations; enforce 100% training completion.</t>
  </si>
  <si>
    <t>HYG-03</t>
  </si>
  <si>
    <t>Deliver role-specific training: secure coding (OWASP Top 10) for developers, privileged-access training for admins.</t>
  </si>
  <si>
    <t>HYG-04</t>
  </si>
  <si>
    <t>Introduce annual re-attestation of the Acceptable Use Policy for all staff.</t>
  </si>
  <si>
    <t>CRY-01</t>
  </si>
  <si>
    <t>Cryptography</t>
  </si>
  <si>
    <t>Document a cryptography policy formalising existing encryption practice (algorithms, TLS baseline, key lifecycle).</t>
  </si>
  <si>
    <t>CRY-03</t>
  </si>
  <si>
    <t>Deploy a secrets management tool; purge hardcoded secrets from repositories; define a rotation schedule.</t>
  </si>
  <si>
    <t>HRA-01</t>
  </si>
  <si>
    <t>HR, Access Control &amp; Assets</t>
  </si>
  <si>
    <t>Formalise the joiner-mover-leaver process with HR-triggered same-day access revocation; immediately audit and remove orphaned accounts.</t>
  </si>
  <si>
    <t>HRA-02</t>
  </si>
  <si>
    <t>Implement an RBAC model with an approval workflow; remove standing production admin access from developers.</t>
  </si>
  <si>
    <t>HRA-03</t>
  </si>
  <si>
    <t>Introduce quarterly access recertification for production/privileged systems, annually for others.</t>
  </si>
  <si>
    <t>HRA-04</t>
  </si>
  <si>
    <t>Deploy asset management tooling; build a full inventory of hardware, software, and information assets with owners.</t>
  </si>
  <si>
    <t>HRA-05</t>
  </si>
  <si>
    <t>Define a secure disposal procedure (certified wipe/destruction); clear the existing device backlog.</t>
  </si>
  <si>
    <t>MFA-01</t>
  </si>
  <si>
    <t>Authentication &amp; Secure Comms</t>
  </si>
  <si>
    <t>Enforce MFA immediately on the AWS console and the SaaS admin portal.</t>
  </si>
  <si>
    <t>MFA-02</t>
  </si>
  <si>
    <t>Make platform MFA default-on for all users; agree an enforced rollout plan with hospital customers.</t>
  </si>
  <si>
    <t>Product</t>
  </si>
  <si>
    <t>MFA-03</t>
  </si>
  <si>
    <t>Define a policy on secure channels for communicating sensitive/incident information.</t>
  </si>
  <si>
    <t>MFA-04</t>
  </si>
  <si>
    <t>Establish an out-of-band emergency communication channel and a printed break-glass contact list.</t>
  </si>
  <si>
    <t>REP-01</t>
  </si>
  <si>
    <t>Incident Reporting</t>
  </si>
  <si>
    <t>Draft a 24-hour early warning procedure and template; record CSIRT-IE contact details; brief on-call staff.</t>
  </si>
  <si>
    <t>DPO</t>
  </si>
  <si>
    <t>REP-02</t>
  </si>
  <si>
    <t>Draft a 72-hour notification procedure, distinct from but coordinated with the GDPR Art. 33 process.</t>
  </si>
  <si>
    <t>REP-03</t>
  </si>
  <si>
    <t>Build a final incident report template, populated from the post-incident review process once established.</t>
  </si>
  <si>
    <t>REP-04</t>
  </si>
  <si>
    <t>Define clear significance criteria (service downtime thresholds, confirmed data breach) mapped to platform impact.</t>
  </si>
  <si>
    <t>REG-01</t>
  </si>
  <si>
    <t>Registration &amp; Regulator Engagement</t>
  </si>
  <si>
    <t>Prepare entity registration details, ready for submission once the Irish registration portal opens.</t>
  </si>
  <si>
    <t>REG-02</t>
  </si>
  <si>
    <t>Assign a named owner to monitor Irish NIS2 transposition and NCSC guidance developments.</t>
  </si>
  <si>
    <t>Roadmap Summary — HealthNet Ireland Ltd</t>
  </si>
  <si>
    <t>Live counts calculated from Sheet '1. Remediation Roadmap'</t>
  </si>
  <si>
    <t>GAPS BY PHASE</t>
  </si>
  <si>
    <t>Total</t>
  </si>
  <si>
    <t>High Priority</t>
  </si>
  <si>
    <t>% of All Gaps</t>
  </si>
  <si>
    <t>WORKLOAD BY OWNER</t>
  </si>
  <si>
    <t>Total Actions</t>
  </si>
  <si>
    <t>KEY TAKEAWAY</t>
  </si>
  <si>
    <t>The IT Manager owns roughly 40% of all 48 remediation actions across every phase — a direct consequence of HealthNet having no dedicated security/GRC function today. This single finding is itself a board-level recommendation: without a dedicated hire (or this engagement), the roadmap's own timeline is at risk from one person's bandwidth.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</si>
</sst>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375623"/>
      <name val="Arial"/>
      <charset val="1"/>
    </font>
    <font>
      <b/>
      <sz val="10"/>
      <color rgb="FFC55A11"/>
      <name val="Arial"/>
      <charset val="1"/>
    </font>
    <font>
      <b/>
      <sz val="10"/>
      <color rgb="FF7F6000"/>
      <name val="Arial"/>
      <charset val="1"/>
    </font>
    <font>
      <b/>
      <sz val="10"/>
      <color rgb="FF5B2C6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C7CE"/>
        <bgColor rgb="FFFCE4D6"/>
      </patternFill>
    </fill>
    <fill>
      <patternFill patternType="solid">
        <fgColor rgb="FFC6E0B4"/>
        <bgColor rgb="FFD9D2E9"/>
      </patternFill>
    </fill>
    <fill>
      <patternFill patternType="solid">
        <fgColor rgb="FFFCE4D6"/>
        <bgColor rgb="FFFFE699"/>
      </patternFill>
    </fill>
    <fill>
      <patternFill patternType="solid">
        <fgColor rgb="FFFFE699"/>
        <bgColor rgb="FFFCE4D6"/>
      </patternFill>
    </fill>
    <fill>
      <patternFill patternType="solid">
        <fgColor rgb="FFD9D2E9"/>
        <bgColor rgb="FFC6E0B4"/>
      </patternFill>
    </fill>
    <fill>
      <patternFill patternType="solid">
        <fgColor rgb="FF2F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top" wrapText="1" indent="1"/>
    </xf>
    <xf numFmtId="0" fontId="3" fillId="8" borderId="0" xfId="0" applyFont="1" applyFill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6" fillId="4" borderId="1" xfId="0" applyFont="1" applyFill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8" fillId="6" borderId="1" xfId="0" applyFont="1" applyFill="1" applyBorder="1"/>
    <xf numFmtId="0" fontId="9" fillId="7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5B2C6F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9" customWidth="1"/>
    <col min="2" max="2" width="22" customWidth="1"/>
    <col min="3" max="3" width="50" customWidth="1"/>
    <col min="4" max="5" width="10" customWidth="1"/>
    <col min="6" max="6" width="13" customWidth="1"/>
    <col min="7" max="7" width="10" customWidth="1"/>
    <col min="8" max="8" width="14" customWidth="1"/>
  </cols>
  <sheetData>
    <row r="1" spans="1:8" ht="17.399999999999999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3" t="s">
        <v>1</v>
      </c>
      <c r="B2" s="3"/>
      <c r="C2" s="3"/>
      <c r="D2" s="3"/>
      <c r="E2" s="3"/>
      <c r="F2" s="3"/>
      <c r="G2" s="3"/>
      <c r="H2" s="3"/>
    </row>
    <row r="4" spans="1:8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37.5" customHeight="1" x14ac:dyDescent="0.3">
      <c r="A5" s="6" t="s">
        <v>10</v>
      </c>
      <c r="B5" s="7" t="s">
        <v>11</v>
      </c>
      <c r="C5" s="7" t="s">
        <v>12</v>
      </c>
      <c r="D5" s="8" t="s">
        <v>13</v>
      </c>
      <c r="E5" s="9" t="s">
        <v>14</v>
      </c>
      <c r="F5" s="6" t="s">
        <v>15</v>
      </c>
      <c r="G5" s="6" t="s">
        <v>16</v>
      </c>
      <c r="H5" s="6" t="s">
        <v>17</v>
      </c>
    </row>
    <row r="6" spans="1:8" ht="51.75" customHeight="1" x14ac:dyDescent="0.3">
      <c r="A6" s="6" t="s">
        <v>18</v>
      </c>
      <c r="B6" s="7" t="s">
        <v>11</v>
      </c>
      <c r="C6" s="7" t="s">
        <v>19</v>
      </c>
      <c r="D6" s="8" t="s">
        <v>13</v>
      </c>
      <c r="E6" s="9" t="s">
        <v>14</v>
      </c>
      <c r="F6" s="6" t="s">
        <v>15</v>
      </c>
      <c r="G6" s="6" t="s">
        <v>16</v>
      </c>
      <c r="H6" s="6" t="s">
        <v>20</v>
      </c>
    </row>
    <row r="7" spans="1:8" ht="51.75" customHeight="1" x14ac:dyDescent="0.3">
      <c r="A7" s="6" t="s">
        <v>21</v>
      </c>
      <c r="B7" s="7" t="s">
        <v>11</v>
      </c>
      <c r="C7" s="7" t="s">
        <v>22</v>
      </c>
      <c r="D7" s="10" t="s">
        <v>23</v>
      </c>
      <c r="E7" s="11" t="s">
        <v>24</v>
      </c>
      <c r="F7" s="6" t="s">
        <v>25</v>
      </c>
      <c r="G7" s="6" t="s">
        <v>23</v>
      </c>
      <c r="H7" s="6" t="s">
        <v>17</v>
      </c>
    </row>
    <row r="8" spans="1:8" ht="37.5" customHeight="1" x14ac:dyDescent="0.3">
      <c r="A8" s="6" t="s">
        <v>26</v>
      </c>
      <c r="B8" s="7" t="s">
        <v>11</v>
      </c>
      <c r="C8" s="7" t="s">
        <v>27</v>
      </c>
      <c r="D8" s="10" t="s">
        <v>23</v>
      </c>
      <c r="E8" s="11" t="s">
        <v>24</v>
      </c>
      <c r="F8" s="6" t="s">
        <v>25</v>
      </c>
      <c r="G8" s="6" t="s">
        <v>23</v>
      </c>
      <c r="H8" s="6" t="s">
        <v>28</v>
      </c>
    </row>
    <row r="9" spans="1:8" ht="37.5" customHeight="1" x14ac:dyDescent="0.3">
      <c r="A9" s="6" t="s">
        <v>29</v>
      </c>
      <c r="B9" s="7" t="s">
        <v>30</v>
      </c>
      <c r="C9" s="7" t="s">
        <v>31</v>
      </c>
      <c r="D9" s="10" t="s">
        <v>23</v>
      </c>
      <c r="E9" s="9" t="s">
        <v>14</v>
      </c>
      <c r="F9" s="6" t="s">
        <v>15</v>
      </c>
      <c r="G9" s="6" t="s">
        <v>16</v>
      </c>
      <c r="H9" s="6" t="s">
        <v>20</v>
      </c>
    </row>
    <row r="10" spans="1:8" ht="37.5" customHeight="1" x14ac:dyDescent="0.3">
      <c r="A10" s="6" t="s">
        <v>32</v>
      </c>
      <c r="B10" s="7" t="s">
        <v>30</v>
      </c>
      <c r="C10" s="7" t="s">
        <v>33</v>
      </c>
      <c r="D10" s="8" t="s">
        <v>13</v>
      </c>
      <c r="E10" s="9" t="s">
        <v>14</v>
      </c>
      <c r="F10" s="6" t="s">
        <v>15</v>
      </c>
      <c r="G10" s="6" t="s">
        <v>23</v>
      </c>
      <c r="H10" s="6" t="s">
        <v>20</v>
      </c>
    </row>
    <row r="11" spans="1:8" ht="37.5" customHeight="1" x14ac:dyDescent="0.3">
      <c r="A11" s="6" t="s">
        <v>34</v>
      </c>
      <c r="B11" s="7" t="s">
        <v>30</v>
      </c>
      <c r="C11" s="7" t="s">
        <v>35</v>
      </c>
      <c r="D11" s="8" t="s">
        <v>13</v>
      </c>
      <c r="E11" s="9" t="s">
        <v>14</v>
      </c>
      <c r="F11" s="6" t="s">
        <v>15</v>
      </c>
      <c r="G11" s="6" t="s">
        <v>23</v>
      </c>
      <c r="H11" s="6" t="s">
        <v>20</v>
      </c>
    </row>
    <row r="12" spans="1:8" ht="37.5" customHeight="1" x14ac:dyDescent="0.3">
      <c r="A12" s="6" t="s">
        <v>36</v>
      </c>
      <c r="B12" s="7" t="s">
        <v>30</v>
      </c>
      <c r="C12" s="7" t="s">
        <v>37</v>
      </c>
      <c r="D12" s="10" t="s">
        <v>23</v>
      </c>
      <c r="E12" s="11" t="s">
        <v>24</v>
      </c>
      <c r="F12" s="6" t="s">
        <v>25</v>
      </c>
      <c r="G12" s="6" t="s">
        <v>23</v>
      </c>
      <c r="H12" s="6" t="s">
        <v>20</v>
      </c>
    </row>
    <row r="13" spans="1:8" ht="51.75" customHeight="1" x14ac:dyDescent="0.3">
      <c r="A13" s="6" t="s">
        <v>38</v>
      </c>
      <c r="B13" s="7" t="s">
        <v>39</v>
      </c>
      <c r="C13" s="7" t="s">
        <v>40</v>
      </c>
      <c r="D13" s="8" t="s">
        <v>13</v>
      </c>
      <c r="E13" s="11" t="s">
        <v>24</v>
      </c>
      <c r="F13" s="6" t="s">
        <v>25</v>
      </c>
      <c r="G13" s="6" t="s">
        <v>13</v>
      </c>
      <c r="H13" s="6" t="s">
        <v>20</v>
      </c>
    </row>
    <row r="14" spans="1:8" ht="51.75" customHeight="1" x14ac:dyDescent="0.3">
      <c r="A14" s="6" t="s">
        <v>41</v>
      </c>
      <c r="B14" s="7" t="s">
        <v>39</v>
      </c>
      <c r="C14" s="7" t="s">
        <v>42</v>
      </c>
      <c r="D14" s="10" t="s">
        <v>23</v>
      </c>
      <c r="E14" s="11" t="s">
        <v>24</v>
      </c>
      <c r="F14" s="6" t="s">
        <v>25</v>
      </c>
      <c r="G14" s="6" t="s">
        <v>23</v>
      </c>
      <c r="H14" s="6" t="s">
        <v>20</v>
      </c>
    </row>
    <row r="15" spans="1:8" ht="37.5" customHeight="1" x14ac:dyDescent="0.3">
      <c r="A15" s="6" t="s">
        <v>43</v>
      </c>
      <c r="B15" s="7" t="s">
        <v>39</v>
      </c>
      <c r="C15" s="7" t="s">
        <v>44</v>
      </c>
      <c r="D15" s="10" t="s">
        <v>23</v>
      </c>
      <c r="E15" s="11" t="s">
        <v>24</v>
      </c>
      <c r="F15" s="6" t="s">
        <v>25</v>
      </c>
      <c r="G15" s="6" t="s">
        <v>16</v>
      </c>
      <c r="H15" s="6" t="s">
        <v>20</v>
      </c>
    </row>
    <row r="16" spans="1:8" ht="37.5" customHeight="1" x14ac:dyDescent="0.3">
      <c r="A16" s="6" t="s">
        <v>45</v>
      </c>
      <c r="B16" s="7" t="s">
        <v>39</v>
      </c>
      <c r="C16" s="7" t="s">
        <v>46</v>
      </c>
      <c r="D16" s="10" t="s">
        <v>23</v>
      </c>
      <c r="E16" s="12" t="s">
        <v>47</v>
      </c>
      <c r="F16" s="6" t="s">
        <v>48</v>
      </c>
      <c r="G16" s="6" t="s">
        <v>23</v>
      </c>
      <c r="H16" s="6" t="s">
        <v>20</v>
      </c>
    </row>
    <row r="17" spans="1:8" ht="37.5" customHeight="1" x14ac:dyDescent="0.3">
      <c r="A17" s="6" t="s">
        <v>49</v>
      </c>
      <c r="B17" s="7" t="s">
        <v>39</v>
      </c>
      <c r="C17" s="7" t="s">
        <v>50</v>
      </c>
      <c r="D17" s="10" t="s">
        <v>23</v>
      </c>
      <c r="E17" s="11" t="s">
        <v>24</v>
      </c>
      <c r="F17" s="6" t="s">
        <v>25</v>
      </c>
      <c r="G17" s="6" t="s">
        <v>16</v>
      </c>
      <c r="H17" s="6" t="s">
        <v>20</v>
      </c>
    </row>
    <row r="18" spans="1:8" ht="51.75" customHeight="1" x14ac:dyDescent="0.3">
      <c r="A18" s="6" t="s">
        <v>51</v>
      </c>
      <c r="B18" s="7" t="s">
        <v>52</v>
      </c>
      <c r="C18" s="7" t="s">
        <v>53</v>
      </c>
      <c r="D18" s="8" t="s">
        <v>13</v>
      </c>
      <c r="E18" s="9" t="s">
        <v>14</v>
      </c>
      <c r="F18" s="6" t="s">
        <v>15</v>
      </c>
      <c r="G18" s="6" t="s">
        <v>23</v>
      </c>
      <c r="H18" s="6" t="s">
        <v>54</v>
      </c>
    </row>
    <row r="19" spans="1:8" ht="37.5" customHeight="1" x14ac:dyDescent="0.3">
      <c r="A19" s="6" t="s">
        <v>55</v>
      </c>
      <c r="B19" s="7" t="s">
        <v>52</v>
      </c>
      <c r="C19" s="7" t="s">
        <v>56</v>
      </c>
      <c r="D19" s="8" t="s">
        <v>13</v>
      </c>
      <c r="E19" s="11" t="s">
        <v>24</v>
      </c>
      <c r="F19" s="6" t="s">
        <v>25</v>
      </c>
      <c r="G19" s="6" t="s">
        <v>13</v>
      </c>
      <c r="H19" s="6" t="s">
        <v>20</v>
      </c>
    </row>
    <row r="20" spans="1:8" ht="37.5" customHeight="1" x14ac:dyDescent="0.3">
      <c r="A20" s="6" t="s">
        <v>57</v>
      </c>
      <c r="B20" s="7" t="s">
        <v>52</v>
      </c>
      <c r="C20" s="7" t="s">
        <v>58</v>
      </c>
      <c r="D20" s="10" t="s">
        <v>23</v>
      </c>
      <c r="E20" s="11" t="s">
        <v>24</v>
      </c>
      <c r="F20" s="6" t="s">
        <v>25</v>
      </c>
      <c r="G20" s="6" t="s">
        <v>23</v>
      </c>
      <c r="H20" s="6" t="s">
        <v>17</v>
      </c>
    </row>
    <row r="21" spans="1:8" ht="37.5" customHeight="1" x14ac:dyDescent="0.3">
      <c r="A21" s="6" t="s">
        <v>59</v>
      </c>
      <c r="B21" s="7" t="s">
        <v>52</v>
      </c>
      <c r="C21" s="7" t="s">
        <v>60</v>
      </c>
      <c r="D21" s="10" t="s">
        <v>23</v>
      </c>
      <c r="E21" s="12" t="s">
        <v>47</v>
      </c>
      <c r="F21" s="6" t="s">
        <v>48</v>
      </c>
      <c r="G21" s="6" t="s">
        <v>23</v>
      </c>
      <c r="H21" s="6" t="s">
        <v>54</v>
      </c>
    </row>
    <row r="22" spans="1:8" ht="37.5" customHeight="1" x14ac:dyDescent="0.3">
      <c r="A22" s="6" t="s">
        <v>61</v>
      </c>
      <c r="B22" s="7" t="s">
        <v>62</v>
      </c>
      <c r="C22" s="7" t="s">
        <v>63</v>
      </c>
      <c r="D22" s="10" t="s">
        <v>23</v>
      </c>
      <c r="E22" s="11" t="s">
        <v>24</v>
      </c>
      <c r="F22" s="6" t="s">
        <v>25</v>
      </c>
      <c r="G22" s="6" t="s">
        <v>16</v>
      </c>
      <c r="H22" s="6" t="s">
        <v>64</v>
      </c>
    </row>
    <row r="23" spans="1:8" ht="51.75" customHeight="1" x14ac:dyDescent="0.3">
      <c r="A23" s="6" t="s">
        <v>65</v>
      </c>
      <c r="B23" s="7" t="s">
        <v>62</v>
      </c>
      <c r="C23" s="7" t="s">
        <v>66</v>
      </c>
      <c r="D23" s="8" t="s">
        <v>13</v>
      </c>
      <c r="E23" s="11" t="s">
        <v>24</v>
      </c>
      <c r="F23" s="6" t="s">
        <v>25</v>
      </c>
      <c r="G23" s="6" t="s">
        <v>23</v>
      </c>
      <c r="H23" s="6" t="s">
        <v>67</v>
      </c>
    </row>
    <row r="24" spans="1:8" ht="37.5" customHeight="1" x14ac:dyDescent="0.3">
      <c r="A24" s="6" t="s">
        <v>68</v>
      </c>
      <c r="B24" s="7" t="s">
        <v>62</v>
      </c>
      <c r="C24" s="7" t="s">
        <v>69</v>
      </c>
      <c r="D24" s="10" t="s">
        <v>23</v>
      </c>
      <c r="E24" s="11" t="s">
        <v>24</v>
      </c>
      <c r="F24" s="6" t="s">
        <v>25</v>
      </c>
      <c r="G24" s="6" t="s">
        <v>23</v>
      </c>
      <c r="H24" s="6" t="s">
        <v>64</v>
      </c>
    </row>
    <row r="25" spans="1:8" ht="51.75" customHeight="1" x14ac:dyDescent="0.3">
      <c r="A25" s="6" t="s">
        <v>70</v>
      </c>
      <c r="B25" s="7" t="s">
        <v>62</v>
      </c>
      <c r="C25" s="7" t="s">
        <v>71</v>
      </c>
      <c r="D25" s="10" t="s">
        <v>23</v>
      </c>
      <c r="E25" s="12" t="s">
        <v>47</v>
      </c>
      <c r="F25" s="6" t="s">
        <v>48</v>
      </c>
      <c r="G25" s="6" t="s">
        <v>16</v>
      </c>
      <c r="H25" s="6" t="s">
        <v>20</v>
      </c>
    </row>
    <row r="26" spans="1:8" ht="37.5" customHeight="1" x14ac:dyDescent="0.3">
      <c r="A26" s="6" t="s">
        <v>72</v>
      </c>
      <c r="B26" s="7" t="s">
        <v>73</v>
      </c>
      <c r="C26" s="7" t="s">
        <v>74</v>
      </c>
      <c r="D26" s="10" t="s">
        <v>23</v>
      </c>
      <c r="E26" s="11" t="s">
        <v>24</v>
      </c>
      <c r="F26" s="6" t="s">
        <v>25</v>
      </c>
      <c r="G26" s="6" t="s">
        <v>23</v>
      </c>
      <c r="H26" s="6" t="s">
        <v>75</v>
      </c>
    </row>
    <row r="27" spans="1:8" ht="51.75" customHeight="1" x14ac:dyDescent="0.3">
      <c r="A27" s="6" t="s">
        <v>76</v>
      </c>
      <c r="B27" s="7" t="s">
        <v>73</v>
      </c>
      <c r="C27" s="7" t="s">
        <v>77</v>
      </c>
      <c r="D27" s="10" t="s">
        <v>23</v>
      </c>
      <c r="E27" s="11" t="s">
        <v>24</v>
      </c>
      <c r="F27" s="6" t="s">
        <v>25</v>
      </c>
      <c r="G27" s="6" t="s">
        <v>23</v>
      </c>
      <c r="H27" s="6" t="s">
        <v>54</v>
      </c>
    </row>
    <row r="28" spans="1:8" ht="37.5" customHeight="1" x14ac:dyDescent="0.3">
      <c r="A28" s="6" t="s">
        <v>78</v>
      </c>
      <c r="B28" s="7" t="s">
        <v>73</v>
      </c>
      <c r="C28" s="7" t="s">
        <v>79</v>
      </c>
      <c r="D28" s="9" t="s">
        <v>16</v>
      </c>
      <c r="E28" s="9" t="s">
        <v>14</v>
      </c>
      <c r="F28" s="6" t="s">
        <v>15</v>
      </c>
      <c r="G28" s="6" t="s">
        <v>16</v>
      </c>
      <c r="H28" s="6" t="s">
        <v>75</v>
      </c>
    </row>
    <row r="29" spans="1:8" ht="37.5" customHeight="1" x14ac:dyDescent="0.3">
      <c r="A29" s="6" t="s">
        <v>80</v>
      </c>
      <c r="B29" s="7" t="s">
        <v>73</v>
      </c>
      <c r="C29" s="7" t="s">
        <v>81</v>
      </c>
      <c r="D29" s="10" t="s">
        <v>23</v>
      </c>
      <c r="E29" s="11" t="s">
        <v>24</v>
      </c>
      <c r="F29" s="6" t="s">
        <v>25</v>
      </c>
      <c r="G29" s="6" t="s">
        <v>23</v>
      </c>
      <c r="H29" s="6" t="s">
        <v>54</v>
      </c>
    </row>
    <row r="30" spans="1:8" ht="37.5" customHeight="1" x14ac:dyDescent="0.3">
      <c r="A30" s="6" t="s">
        <v>82</v>
      </c>
      <c r="B30" s="7" t="s">
        <v>83</v>
      </c>
      <c r="C30" s="7" t="s">
        <v>84</v>
      </c>
      <c r="D30" s="10" t="s">
        <v>23</v>
      </c>
      <c r="E30" s="12" t="s">
        <v>47</v>
      </c>
      <c r="F30" s="6" t="s">
        <v>48</v>
      </c>
      <c r="G30" s="6" t="s">
        <v>23</v>
      </c>
      <c r="H30" s="6" t="s">
        <v>20</v>
      </c>
    </row>
    <row r="31" spans="1:8" ht="37.5" customHeight="1" x14ac:dyDescent="0.3">
      <c r="A31" s="6" t="s">
        <v>85</v>
      </c>
      <c r="B31" s="7" t="s">
        <v>83</v>
      </c>
      <c r="C31" s="7" t="s">
        <v>86</v>
      </c>
      <c r="D31" s="10" t="s">
        <v>23</v>
      </c>
      <c r="E31" s="12" t="s">
        <v>47</v>
      </c>
      <c r="F31" s="6" t="s">
        <v>48</v>
      </c>
      <c r="G31" s="6" t="s">
        <v>16</v>
      </c>
      <c r="H31" s="6" t="s">
        <v>20</v>
      </c>
    </row>
    <row r="32" spans="1:8" ht="37.5" customHeight="1" x14ac:dyDescent="0.3">
      <c r="A32" s="6" t="s">
        <v>87</v>
      </c>
      <c r="B32" s="7" t="s">
        <v>83</v>
      </c>
      <c r="C32" s="7" t="s">
        <v>88</v>
      </c>
      <c r="D32" s="10" t="s">
        <v>23</v>
      </c>
      <c r="E32" s="12" t="s">
        <v>47</v>
      </c>
      <c r="F32" s="6" t="s">
        <v>48</v>
      </c>
      <c r="G32" s="6" t="s">
        <v>16</v>
      </c>
      <c r="H32" s="6" t="s">
        <v>20</v>
      </c>
    </row>
    <row r="33" spans="1:8" ht="37.5" customHeight="1" x14ac:dyDescent="0.3">
      <c r="A33" s="6" t="s">
        <v>89</v>
      </c>
      <c r="B33" s="7" t="s">
        <v>90</v>
      </c>
      <c r="C33" s="7" t="s">
        <v>91</v>
      </c>
      <c r="D33" s="10" t="s">
        <v>23</v>
      </c>
      <c r="E33" s="11" t="s">
        <v>24</v>
      </c>
      <c r="F33" s="6" t="s">
        <v>25</v>
      </c>
      <c r="G33" s="6" t="s">
        <v>23</v>
      </c>
      <c r="H33" s="6" t="s">
        <v>28</v>
      </c>
    </row>
    <row r="34" spans="1:8" ht="51.75" customHeight="1" x14ac:dyDescent="0.3">
      <c r="A34" s="6" t="s">
        <v>92</v>
      </c>
      <c r="B34" s="7" t="s">
        <v>90</v>
      </c>
      <c r="C34" s="7" t="s">
        <v>93</v>
      </c>
      <c r="D34" s="9" t="s">
        <v>16</v>
      </c>
      <c r="E34" s="11" t="s">
        <v>24</v>
      </c>
      <c r="F34" s="6" t="s">
        <v>25</v>
      </c>
      <c r="G34" s="6" t="s">
        <v>23</v>
      </c>
      <c r="H34" s="6" t="s">
        <v>75</v>
      </c>
    </row>
    <row r="35" spans="1:8" ht="37.5" customHeight="1" x14ac:dyDescent="0.3">
      <c r="A35" s="6" t="s">
        <v>94</v>
      </c>
      <c r="B35" s="7" t="s">
        <v>90</v>
      </c>
      <c r="C35" s="7" t="s">
        <v>95</v>
      </c>
      <c r="D35" s="9" t="s">
        <v>16</v>
      </c>
      <c r="E35" s="9" t="s">
        <v>14</v>
      </c>
      <c r="F35" s="6" t="s">
        <v>15</v>
      </c>
      <c r="G35" s="6" t="s">
        <v>16</v>
      </c>
      <c r="H35" s="6" t="s">
        <v>28</v>
      </c>
    </row>
    <row r="36" spans="1:8" ht="51.75" customHeight="1" x14ac:dyDescent="0.3">
      <c r="A36" s="6" t="s">
        <v>96</v>
      </c>
      <c r="B36" s="7" t="s">
        <v>97</v>
      </c>
      <c r="C36" s="7" t="s">
        <v>98</v>
      </c>
      <c r="D36" s="9" t="s">
        <v>16</v>
      </c>
      <c r="E36" s="9" t="s">
        <v>14</v>
      </c>
      <c r="F36" s="6" t="s">
        <v>15</v>
      </c>
      <c r="G36" s="6" t="s">
        <v>16</v>
      </c>
      <c r="H36" s="6" t="s">
        <v>54</v>
      </c>
    </row>
    <row r="37" spans="1:8" ht="37.5" customHeight="1" x14ac:dyDescent="0.3">
      <c r="A37" s="6" t="s">
        <v>99</v>
      </c>
      <c r="B37" s="7" t="s">
        <v>97</v>
      </c>
      <c r="C37" s="7" t="s">
        <v>100</v>
      </c>
      <c r="D37" s="8" t="s">
        <v>13</v>
      </c>
      <c r="E37" s="9" t="s">
        <v>14</v>
      </c>
      <c r="F37" s="6" t="s">
        <v>15</v>
      </c>
      <c r="G37" s="6" t="s">
        <v>23</v>
      </c>
      <c r="H37" s="6" t="s">
        <v>54</v>
      </c>
    </row>
    <row r="38" spans="1:8" ht="51.75" customHeight="1" x14ac:dyDescent="0.3">
      <c r="A38" s="6" t="s">
        <v>101</v>
      </c>
      <c r="B38" s="7" t="s">
        <v>102</v>
      </c>
      <c r="C38" s="7" t="s">
        <v>103</v>
      </c>
      <c r="D38" s="8" t="s">
        <v>13</v>
      </c>
      <c r="E38" s="9" t="s">
        <v>14</v>
      </c>
      <c r="F38" s="6" t="s">
        <v>15</v>
      </c>
      <c r="G38" s="6" t="s">
        <v>16</v>
      </c>
      <c r="H38" s="6" t="s">
        <v>28</v>
      </c>
    </row>
    <row r="39" spans="1:8" ht="51.75" customHeight="1" x14ac:dyDescent="0.3">
      <c r="A39" s="6" t="s">
        <v>104</v>
      </c>
      <c r="B39" s="7" t="s">
        <v>102</v>
      </c>
      <c r="C39" s="7" t="s">
        <v>105</v>
      </c>
      <c r="D39" s="8" t="s">
        <v>13</v>
      </c>
      <c r="E39" s="11" t="s">
        <v>24</v>
      </c>
      <c r="F39" s="6" t="s">
        <v>25</v>
      </c>
      <c r="G39" s="6" t="s">
        <v>23</v>
      </c>
      <c r="H39" s="6" t="s">
        <v>54</v>
      </c>
    </row>
    <row r="40" spans="1:8" ht="37.5" customHeight="1" x14ac:dyDescent="0.3">
      <c r="A40" s="6" t="s">
        <v>106</v>
      </c>
      <c r="B40" s="7" t="s">
        <v>102</v>
      </c>
      <c r="C40" s="7" t="s">
        <v>107</v>
      </c>
      <c r="D40" s="10" t="s">
        <v>23</v>
      </c>
      <c r="E40" s="11" t="s">
        <v>24</v>
      </c>
      <c r="F40" s="6" t="s">
        <v>25</v>
      </c>
      <c r="G40" s="6" t="s">
        <v>16</v>
      </c>
      <c r="H40" s="6" t="s">
        <v>20</v>
      </c>
    </row>
    <row r="41" spans="1:8" ht="51.75" customHeight="1" x14ac:dyDescent="0.3">
      <c r="A41" s="6" t="s">
        <v>108</v>
      </c>
      <c r="B41" s="7" t="s">
        <v>102</v>
      </c>
      <c r="C41" s="7" t="s">
        <v>109</v>
      </c>
      <c r="D41" s="10" t="s">
        <v>23</v>
      </c>
      <c r="E41" s="12" t="s">
        <v>47</v>
      </c>
      <c r="F41" s="6" t="s">
        <v>48</v>
      </c>
      <c r="G41" s="6" t="s">
        <v>23</v>
      </c>
      <c r="H41" s="6" t="s">
        <v>20</v>
      </c>
    </row>
    <row r="42" spans="1:8" ht="37.5" customHeight="1" x14ac:dyDescent="0.3">
      <c r="A42" s="6" t="s">
        <v>110</v>
      </c>
      <c r="B42" s="7" t="s">
        <v>102</v>
      </c>
      <c r="C42" s="7" t="s">
        <v>111</v>
      </c>
      <c r="D42" s="9" t="s">
        <v>16</v>
      </c>
      <c r="E42" s="9" t="s">
        <v>14</v>
      </c>
      <c r="F42" s="6" t="s">
        <v>15</v>
      </c>
      <c r="G42" s="6" t="s">
        <v>16</v>
      </c>
      <c r="H42" s="6" t="s">
        <v>20</v>
      </c>
    </row>
    <row r="43" spans="1:8" ht="37.5" customHeight="1" x14ac:dyDescent="0.3">
      <c r="A43" s="6" t="s">
        <v>112</v>
      </c>
      <c r="B43" s="7" t="s">
        <v>113</v>
      </c>
      <c r="C43" s="7" t="s">
        <v>114</v>
      </c>
      <c r="D43" s="8" t="s">
        <v>13</v>
      </c>
      <c r="E43" s="9" t="s">
        <v>14</v>
      </c>
      <c r="F43" s="6" t="s">
        <v>15</v>
      </c>
      <c r="G43" s="6" t="s">
        <v>16</v>
      </c>
      <c r="H43" s="6" t="s">
        <v>54</v>
      </c>
    </row>
    <row r="44" spans="1:8" ht="37.5" customHeight="1" x14ac:dyDescent="0.3">
      <c r="A44" s="6" t="s">
        <v>115</v>
      </c>
      <c r="B44" s="7" t="s">
        <v>113</v>
      </c>
      <c r="C44" s="7" t="s">
        <v>116</v>
      </c>
      <c r="D44" s="10" t="s">
        <v>23</v>
      </c>
      <c r="E44" s="12" t="s">
        <v>47</v>
      </c>
      <c r="F44" s="6" t="s">
        <v>48</v>
      </c>
      <c r="G44" s="6" t="s">
        <v>23</v>
      </c>
      <c r="H44" s="6" t="s">
        <v>117</v>
      </c>
    </row>
    <row r="45" spans="1:8" ht="37.5" customHeight="1" x14ac:dyDescent="0.3">
      <c r="A45" s="6" t="s">
        <v>118</v>
      </c>
      <c r="B45" s="7" t="s">
        <v>113</v>
      </c>
      <c r="C45" s="7" t="s">
        <v>119</v>
      </c>
      <c r="D45" s="9" t="s">
        <v>16</v>
      </c>
      <c r="E45" s="11" t="s">
        <v>24</v>
      </c>
      <c r="F45" s="6" t="s">
        <v>25</v>
      </c>
      <c r="G45" s="6" t="s">
        <v>16</v>
      </c>
      <c r="H45" s="6" t="s">
        <v>20</v>
      </c>
    </row>
    <row r="46" spans="1:8" ht="37.5" customHeight="1" x14ac:dyDescent="0.3">
      <c r="A46" s="6" t="s">
        <v>120</v>
      </c>
      <c r="B46" s="7" t="s">
        <v>113</v>
      </c>
      <c r="C46" s="7" t="s">
        <v>121</v>
      </c>
      <c r="D46" s="10" t="s">
        <v>23</v>
      </c>
      <c r="E46" s="9" t="s">
        <v>14</v>
      </c>
      <c r="F46" s="6" t="s">
        <v>15</v>
      </c>
      <c r="G46" s="6" t="s">
        <v>16</v>
      </c>
      <c r="H46" s="6" t="s">
        <v>20</v>
      </c>
    </row>
    <row r="47" spans="1:8" ht="51.75" customHeight="1" x14ac:dyDescent="0.3">
      <c r="A47" s="6" t="s">
        <v>122</v>
      </c>
      <c r="B47" s="7" t="s">
        <v>123</v>
      </c>
      <c r="C47" s="7" t="s">
        <v>124</v>
      </c>
      <c r="D47" s="8" t="s">
        <v>13</v>
      </c>
      <c r="E47" s="9" t="s">
        <v>14</v>
      </c>
      <c r="F47" s="6" t="s">
        <v>15</v>
      </c>
      <c r="G47" s="6" t="s">
        <v>16</v>
      </c>
      <c r="H47" s="6" t="s">
        <v>125</v>
      </c>
    </row>
    <row r="48" spans="1:8" ht="37.5" customHeight="1" x14ac:dyDescent="0.3">
      <c r="A48" s="6" t="s">
        <v>126</v>
      </c>
      <c r="B48" s="7" t="s">
        <v>123</v>
      </c>
      <c r="C48" s="7" t="s">
        <v>127</v>
      </c>
      <c r="D48" s="8" t="s">
        <v>13</v>
      </c>
      <c r="E48" s="9" t="s">
        <v>14</v>
      </c>
      <c r="F48" s="6" t="s">
        <v>15</v>
      </c>
      <c r="G48" s="6" t="s">
        <v>16</v>
      </c>
      <c r="H48" s="6" t="s">
        <v>125</v>
      </c>
    </row>
    <row r="49" spans="1:8" ht="51.75" customHeight="1" x14ac:dyDescent="0.3">
      <c r="A49" s="6" t="s">
        <v>128</v>
      </c>
      <c r="B49" s="7" t="s">
        <v>123</v>
      </c>
      <c r="C49" s="7" t="s">
        <v>129</v>
      </c>
      <c r="D49" s="10" t="s">
        <v>23</v>
      </c>
      <c r="E49" s="11" t="s">
        <v>24</v>
      </c>
      <c r="F49" s="6" t="s">
        <v>25</v>
      </c>
      <c r="G49" s="6" t="s">
        <v>16</v>
      </c>
      <c r="H49" s="6" t="s">
        <v>125</v>
      </c>
    </row>
    <row r="50" spans="1:8" ht="51.75" customHeight="1" x14ac:dyDescent="0.3">
      <c r="A50" s="6" t="s">
        <v>130</v>
      </c>
      <c r="B50" s="7" t="s">
        <v>123</v>
      </c>
      <c r="C50" s="7" t="s">
        <v>131</v>
      </c>
      <c r="D50" s="8" t="s">
        <v>13</v>
      </c>
      <c r="E50" s="9" t="s">
        <v>14</v>
      </c>
      <c r="F50" s="6" t="s">
        <v>15</v>
      </c>
      <c r="G50" s="6" t="s">
        <v>16</v>
      </c>
      <c r="H50" s="6" t="s">
        <v>125</v>
      </c>
    </row>
    <row r="51" spans="1:8" ht="37.5" customHeight="1" x14ac:dyDescent="0.3">
      <c r="A51" s="6" t="s">
        <v>132</v>
      </c>
      <c r="B51" s="7" t="s">
        <v>133</v>
      </c>
      <c r="C51" s="7" t="s">
        <v>134</v>
      </c>
      <c r="D51" s="8" t="s">
        <v>13</v>
      </c>
      <c r="E51" s="9" t="s">
        <v>14</v>
      </c>
      <c r="F51" s="6" t="s">
        <v>15</v>
      </c>
      <c r="G51" s="6" t="s">
        <v>16</v>
      </c>
      <c r="H51" s="6" t="s">
        <v>125</v>
      </c>
    </row>
    <row r="52" spans="1:8" ht="37.5" customHeight="1" x14ac:dyDescent="0.3">
      <c r="A52" s="6" t="s">
        <v>135</v>
      </c>
      <c r="B52" s="7" t="s">
        <v>133</v>
      </c>
      <c r="C52" s="7" t="s">
        <v>136</v>
      </c>
      <c r="D52" s="9" t="s">
        <v>16</v>
      </c>
      <c r="E52" s="9" t="s">
        <v>14</v>
      </c>
      <c r="F52" s="6" t="s">
        <v>15</v>
      </c>
      <c r="G52" s="6" t="s">
        <v>16</v>
      </c>
      <c r="H52" s="6" t="s">
        <v>125</v>
      </c>
    </row>
  </sheetData>
  <autoFilter ref="A4:H52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Normal="100" workbookViewId="0"/>
  </sheetViews>
  <sheetFormatPr defaultColWidth="8.6640625" defaultRowHeight="14.4" x14ac:dyDescent="0.3"/>
  <cols>
    <col min="1" max="1" width="16" customWidth="1"/>
    <col min="2" max="5" width="14" customWidth="1"/>
  </cols>
  <sheetData>
    <row r="1" spans="1:5" ht="17.399999999999999" x14ac:dyDescent="0.3">
      <c r="A1" s="4" t="s">
        <v>137</v>
      </c>
      <c r="B1" s="4"/>
      <c r="C1" s="4"/>
      <c r="D1" s="4"/>
      <c r="E1" s="4"/>
    </row>
    <row r="2" spans="1:5" x14ac:dyDescent="0.3">
      <c r="A2" s="3" t="s">
        <v>138</v>
      </c>
      <c r="B2" s="3"/>
      <c r="C2" s="3"/>
      <c r="D2" s="3"/>
      <c r="E2" s="3"/>
    </row>
    <row r="4" spans="1:5" x14ac:dyDescent="0.3">
      <c r="A4" s="2" t="s">
        <v>139</v>
      </c>
      <c r="B4" s="2"/>
      <c r="C4" s="2"/>
      <c r="D4" s="2"/>
      <c r="E4" s="2"/>
    </row>
    <row r="5" spans="1:5" x14ac:dyDescent="0.3">
      <c r="A5" s="13" t="s">
        <v>6</v>
      </c>
      <c r="B5" s="13" t="s">
        <v>7</v>
      </c>
      <c r="C5" s="13" t="s">
        <v>140</v>
      </c>
      <c r="D5" s="13" t="s">
        <v>141</v>
      </c>
      <c r="E5" s="13" t="s">
        <v>142</v>
      </c>
    </row>
    <row r="6" spans="1:5" x14ac:dyDescent="0.3">
      <c r="A6" s="14" t="s">
        <v>14</v>
      </c>
      <c r="B6" s="15" t="s">
        <v>15</v>
      </c>
      <c r="C6" s="15">
        <f>COUNTIF('1. Remediation Roadmap'!$E$5:$E$52,A6)</f>
        <v>19</v>
      </c>
      <c r="D6" s="15">
        <f>COUNTIFS('1. Remediation Roadmap'!$E$5:$E$52,A6,'1. Remediation Roadmap'!$D$5:$D$52,"High")</f>
        <v>12</v>
      </c>
      <c r="E6" s="16">
        <f>C6/COUNTA('1. Remediation Roadmap'!$A$5:$A$52)</f>
        <v>0.39583333333333331</v>
      </c>
    </row>
    <row r="7" spans="1:5" x14ac:dyDescent="0.3">
      <c r="A7" s="17" t="s">
        <v>24</v>
      </c>
      <c r="B7" s="15" t="s">
        <v>25</v>
      </c>
      <c r="C7" s="15">
        <f>COUNTIF('1. Remediation Roadmap'!$E$5:$E$52,A7)</f>
        <v>21</v>
      </c>
      <c r="D7" s="15">
        <f>COUNTIFS('1. Remediation Roadmap'!$E$5:$E$52,A7,'1. Remediation Roadmap'!$D$5:$D$52,"High")</f>
        <v>4</v>
      </c>
      <c r="E7" s="16">
        <f>C7/COUNTA('1. Remediation Roadmap'!$A$5:$A$52)</f>
        <v>0.4375</v>
      </c>
    </row>
    <row r="8" spans="1:5" x14ac:dyDescent="0.3">
      <c r="A8" s="18" t="s">
        <v>47</v>
      </c>
      <c r="B8" s="15" t="s">
        <v>48</v>
      </c>
      <c r="C8" s="15">
        <f>COUNTIF('1. Remediation Roadmap'!$E$5:$E$52,A8)</f>
        <v>8</v>
      </c>
      <c r="D8" s="15">
        <f>COUNTIFS('1. Remediation Roadmap'!$E$5:$E$52,A8,'1. Remediation Roadmap'!$D$5:$D$52,"High")</f>
        <v>0</v>
      </c>
      <c r="E8" s="16">
        <f>C8/COUNTA('1. Remediation Roadmap'!$A$5:$A$52)</f>
        <v>0.16666666666666666</v>
      </c>
    </row>
    <row r="10" spans="1:5" x14ac:dyDescent="0.3">
      <c r="A10" s="2" t="s">
        <v>143</v>
      </c>
      <c r="B10" s="2"/>
      <c r="C10" s="2"/>
      <c r="D10" s="2"/>
      <c r="E10" s="2"/>
    </row>
    <row r="11" spans="1:5" x14ac:dyDescent="0.3">
      <c r="A11" s="13" t="s">
        <v>9</v>
      </c>
      <c r="B11" s="13" t="s">
        <v>144</v>
      </c>
      <c r="C11" s="13" t="s">
        <v>14</v>
      </c>
      <c r="D11" s="13" t="s">
        <v>24</v>
      </c>
      <c r="E11" s="13" t="s">
        <v>47</v>
      </c>
    </row>
    <row r="12" spans="1:5" x14ac:dyDescent="0.3">
      <c r="A12" s="19" t="s">
        <v>20</v>
      </c>
      <c r="B12" s="15">
        <f>COUNTIF('1. Remediation Roadmap'!$H$5:$H$52,A12)</f>
        <v>20</v>
      </c>
      <c r="C12" s="15">
        <f>COUNTIFS('1. Remediation Roadmap'!$H$5:$H$52,A12,'1. Remediation Roadmap'!$E$5:$E$52,"Phase 1")</f>
        <v>6</v>
      </c>
      <c r="D12" s="15">
        <f>COUNTIFS('1. Remediation Roadmap'!$H$5:$H$52,A12,'1. Remediation Roadmap'!$E$5:$E$52,"Phase 2")</f>
        <v>8</v>
      </c>
      <c r="E12" s="15">
        <f>COUNTIFS('1. Remediation Roadmap'!$H$5:$H$52,A12,'1. Remediation Roadmap'!$E$5:$E$52,"Phase 3")</f>
        <v>6</v>
      </c>
    </row>
    <row r="13" spans="1:5" x14ac:dyDescent="0.3">
      <c r="A13" s="19" t="s">
        <v>54</v>
      </c>
      <c r="B13" s="15">
        <f>COUNTIF('1. Remediation Roadmap'!$H$5:$H$52,A13)</f>
        <v>8</v>
      </c>
      <c r="C13" s="15">
        <f>COUNTIFS('1. Remediation Roadmap'!$H$5:$H$52,A13,'1. Remediation Roadmap'!$E$5:$E$52,"Phase 1")</f>
        <v>4</v>
      </c>
      <c r="D13" s="15">
        <f>COUNTIFS('1. Remediation Roadmap'!$H$5:$H$52,A13,'1. Remediation Roadmap'!$E$5:$E$52,"Phase 2")</f>
        <v>3</v>
      </c>
      <c r="E13" s="15">
        <f>COUNTIFS('1. Remediation Roadmap'!$H$5:$H$52,A13,'1. Remediation Roadmap'!$E$5:$E$52,"Phase 3")</f>
        <v>1</v>
      </c>
    </row>
    <row r="14" spans="1:5" x14ac:dyDescent="0.3">
      <c r="A14" s="19" t="s">
        <v>75</v>
      </c>
      <c r="B14" s="15">
        <f>COUNTIF('1. Remediation Roadmap'!$H$5:$H$52,A14)</f>
        <v>3</v>
      </c>
      <c r="C14" s="15">
        <f>COUNTIFS('1. Remediation Roadmap'!$H$5:$H$52,A14,'1. Remediation Roadmap'!$E$5:$E$52,"Phase 1")</f>
        <v>1</v>
      </c>
      <c r="D14" s="15">
        <f>COUNTIFS('1. Remediation Roadmap'!$H$5:$H$52,A14,'1. Remediation Roadmap'!$E$5:$E$52,"Phase 2")</f>
        <v>2</v>
      </c>
      <c r="E14" s="15">
        <f>COUNTIFS('1. Remediation Roadmap'!$H$5:$H$52,A14,'1. Remediation Roadmap'!$E$5:$E$52,"Phase 3")</f>
        <v>0</v>
      </c>
    </row>
    <row r="15" spans="1:5" x14ac:dyDescent="0.3">
      <c r="A15" s="19" t="s">
        <v>17</v>
      </c>
      <c r="B15" s="15">
        <f>COUNTIF('1. Remediation Roadmap'!$H$5:$H$52,A15)</f>
        <v>3</v>
      </c>
      <c r="C15" s="15">
        <f>COUNTIFS('1. Remediation Roadmap'!$H$5:$H$52,A15,'1. Remediation Roadmap'!$E$5:$E$52,"Phase 1")</f>
        <v>1</v>
      </c>
      <c r="D15" s="15">
        <f>COUNTIFS('1. Remediation Roadmap'!$H$5:$H$52,A15,'1. Remediation Roadmap'!$E$5:$E$52,"Phase 2")</f>
        <v>2</v>
      </c>
      <c r="E15" s="15">
        <f>COUNTIFS('1. Remediation Roadmap'!$H$5:$H$52,A15,'1. Remediation Roadmap'!$E$5:$E$52,"Phase 3")</f>
        <v>0</v>
      </c>
    </row>
    <row r="16" spans="1:5" x14ac:dyDescent="0.3">
      <c r="A16" s="19" t="s">
        <v>28</v>
      </c>
      <c r="B16" s="15">
        <f>COUNTIF('1. Remediation Roadmap'!$H$5:$H$52,A16)</f>
        <v>4</v>
      </c>
      <c r="C16" s="15">
        <f>COUNTIFS('1. Remediation Roadmap'!$H$5:$H$52,A16,'1. Remediation Roadmap'!$E$5:$E$52,"Phase 1")</f>
        <v>2</v>
      </c>
      <c r="D16" s="15">
        <f>COUNTIFS('1. Remediation Roadmap'!$H$5:$H$52,A16,'1. Remediation Roadmap'!$E$5:$E$52,"Phase 2")</f>
        <v>2</v>
      </c>
      <c r="E16" s="15">
        <f>COUNTIFS('1. Remediation Roadmap'!$H$5:$H$52,A16,'1. Remediation Roadmap'!$E$5:$E$52,"Phase 3")</f>
        <v>0</v>
      </c>
    </row>
    <row r="17" spans="1:5" x14ac:dyDescent="0.3">
      <c r="A17" s="19" t="s">
        <v>64</v>
      </c>
      <c r="B17" s="15">
        <f>COUNTIF('1. Remediation Roadmap'!$H$5:$H$52,A17)</f>
        <v>2</v>
      </c>
      <c r="C17" s="15">
        <f>COUNTIFS('1. Remediation Roadmap'!$H$5:$H$52,A17,'1. Remediation Roadmap'!$E$5:$E$52,"Phase 1")</f>
        <v>0</v>
      </c>
      <c r="D17" s="15">
        <f>COUNTIFS('1. Remediation Roadmap'!$H$5:$H$52,A17,'1. Remediation Roadmap'!$E$5:$E$52,"Phase 2")</f>
        <v>2</v>
      </c>
      <c r="E17" s="15">
        <f>COUNTIFS('1. Remediation Roadmap'!$H$5:$H$52,A17,'1. Remediation Roadmap'!$E$5:$E$52,"Phase 3")</f>
        <v>0</v>
      </c>
    </row>
    <row r="18" spans="1:5" x14ac:dyDescent="0.3">
      <c r="A18" s="19" t="s">
        <v>67</v>
      </c>
      <c r="B18" s="15">
        <f>COUNTIF('1. Remediation Roadmap'!$H$5:$H$52,A18)</f>
        <v>1</v>
      </c>
      <c r="C18" s="15">
        <f>COUNTIFS('1. Remediation Roadmap'!$H$5:$H$52,A18,'1. Remediation Roadmap'!$E$5:$E$52,"Phase 1")</f>
        <v>0</v>
      </c>
      <c r="D18" s="15">
        <f>COUNTIFS('1. Remediation Roadmap'!$H$5:$H$52,A18,'1. Remediation Roadmap'!$E$5:$E$52,"Phase 2")</f>
        <v>1</v>
      </c>
      <c r="E18" s="15">
        <f>COUNTIFS('1. Remediation Roadmap'!$H$5:$H$52,A18,'1. Remediation Roadmap'!$E$5:$E$52,"Phase 3")</f>
        <v>0</v>
      </c>
    </row>
    <row r="19" spans="1:5" x14ac:dyDescent="0.3">
      <c r="A19" s="19" t="s">
        <v>117</v>
      </c>
      <c r="B19" s="15">
        <f>COUNTIF('1. Remediation Roadmap'!$H$5:$H$52,A19)</f>
        <v>1</v>
      </c>
      <c r="C19" s="15">
        <f>COUNTIFS('1. Remediation Roadmap'!$H$5:$H$52,A19,'1. Remediation Roadmap'!$E$5:$E$52,"Phase 1")</f>
        <v>0</v>
      </c>
      <c r="D19" s="15">
        <f>COUNTIFS('1. Remediation Roadmap'!$H$5:$H$52,A19,'1. Remediation Roadmap'!$E$5:$E$52,"Phase 2")</f>
        <v>0</v>
      </c>
      <c r="E19" s="15">
        <f>COUNTIFS('1. Remediation Roadmap'!$H$5:$H$52,A19,'1. Remediation Roadmap'!$E$5:$E$52,"Phase 3")</f>
        <v>1</v>
      </c>
    </row>
    <row r="20" spans="1:5" x14ac:dyDescent="0.3">
      <c r="A20" s="19" t="s">
        <v>125</v>
      </c>
      <c r="B20" s="15">
        <f>COUNTIF('1. Remediation Roadmap'!$H$5:$H$52,A20)</f>
        <v>6</v>
      </c>
      <c r="C20" s="15">
        <f>COUNTIFS('1. Remediation Roadmap'!$H$5:$H$52,A20,'1. Remediation Roadmap'!$E$5:$E$52,"Phase 1")</f>
        <v>5</v>
      </c>
      <c r="D20" s="15">
        <f>COUNTIFS('1. Remediation Roadmap'!$H$5:$H$52,A20,'1. Remediation Roadmap'!$E$5:$E$52,"Phase 2")</f>
        <v>1</v>
      </c>
      <c r="E20" s="15">
        <f>COUNTIFS('1. Remediation Roadmap'!$H$5:$H$52,A20,'1. Remediation Roadmap'!$E$5:$E$52,"Phase 3")</f>
        <v>0</v>
      </c>
    </row>
    <row r="22" spans="1:5" x14ac:dyDescent="0.3">
      <c r="A22" s="2" t="s">
        <v>145</v>
      </c>
      <c r="B22" s="2"/>
      <c r="C22" s="2"/>
      <c r="D22" s="2"/>
      <c r="E22" s="2"/>
    </row>
    <row r="23" spans="1:5" ht="69.75" customHeight="1" x14ac:dyDescent="0.3">
      <c r="A23" s="1" t="s">
        <v>146</v>
      </c>
      <c r="B23" s="1"/>
      <c r="C23" s="1"/>
      <c r="D23" s="1"/>
      <c r="E23" s="1"/>
    </row>
  </sheetData>
  <mergeCells count="6">
    <mergeCell ref="A23:E23"/>
    <mergeCell ref="A1:E1"/>
    <mergeCell ref="A2:E2"/>
    <mergeCell ref="A4:E4"/>
    <mergeCell ref="A10:E10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Remediation Roadmap</vt:lpstr>
      <vt:lpstr>2. Roadmap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bhuvaneswari kundla</cp:lastModifiedBy>
  <cp:revision>0</cp:revision>
  <dcterms:created xsi:type="dcterms:W3CDTF">2026-07-24T14:03:34Z</dcterms:created>
  <dcterms:modified xsi:type="dcterms:W3CDTF">2026-07-24T14:07:23Z</dcterms:modified>
  <dc:language>en-US</dc:language>
</cp:coreProperties>
</file>