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Scope" sheetId="3" state="visible" r:id="rId5"/>
    <sheet name="Control Matrix" sheetId="4" state="visible" r:id="rId6"/>
    <sheet name="Sampling Guide" sheetId="5" state="visible" r:id="rId7"/>
    <sheet name="AC-01 Leavers" sheetId="6" state="visible" r:id="rId8"/>
    <sheet name="AC-02 Access Review" sheetId="7" state="visible" r:id="rId9"/>
    <sheet name="CM-01 Changes" sheetId="8" state="visible" r:id="rId10"/>
    <sheet name="CM-02 SoD" sheetId="9" state="visible" r:id="rId11"/>
    <sheet name="OP-01 Backups" sheetId="10" state="visible" r:id="rId12"/>
    <sheet name="OP-02 Restore Tests" sheetId="11" state="visible" r:id="rId13"/>
    <sheet name="Exceptions" sheetId="12" state="visible" r:id="rId14"/>
    <sheet name="Framework Mapping"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<sst xmlns="http://schemas.openxmlformats.org/spreadsheetml/2006/main" count="596" uniqueCount="358">
  <si>
    <t xml:space="preserve">IT General Controls (ITGC) Testing Workbook</t>
  </si>
  <si>
    <t xml:space="preserve">Portfolio project by Bhuvaneshwari Kundla, September 2026</t>
  </si>
  <si>
    <t xml:space="preserve">Client</t>
  </si>
  <si>
    <t xml:space="preserve">Harbourline Payments Ltd, a FICTIONAL Dublin-based payment institution offering a SaaS payments and billing platform. All names, people and data are invented for learning purposes.</t>
  </si>
  <si>
    <t xml:space="preserve">Engagement</t>
  </si>
  <si>
    <t xml:space="preserve">Simulated IT audit testing of key IT general controls (ITGCs) supporting the systems behind financial reporting.</t>
  </si>
  <si>
    <t xml:space="preserve">Period tested</t>
  </si>
  <si>
    <t xml:space="preserve">1 January 2026 to 30 June 2026</t>
  </si>
  <si>
    <t xml:space="preserve">Controls tested</t>
  </si>
  <si>
    <t xml:space="preserve">6 key controls across three ITGC domains: Access to programs and data (AC), Program change (CM), Computer operations (OP).</t>
  </si>
  <si>
    <t xml:space="preserve">Approach</t>
  </si>
  <si>
    <t xml:space="preserve">1) Walkthrough to confirm each control is designed properly. 2) Sample-based testing to confirm it operated throughout the period. 3) Exceptions evaluated, rated and reported with recommendations.</t>
  </si>
  <si>
    <t xml:space="preserve">Sheet guide</t>
  </si>
  <si>
    <t xml:space="preserve">Summary</t>
  </si>
  <si>
    <t xml:space="preserve">Headline results, calculated automatically from the test sheets.</t>
  </si>
  <si>
    <t xml:space="preserve">Scope</t>
  </si>
  <si>
    <t xml:space="preserve">Company background and the systems in scope.</t>
  </si>
  <si>
    <t xml:space="preserve">Control Matrix</t>
  </si>
  <si>
    <t xml:space="preserve">The 6 controls: what they do, who owns them, how they were tested and the conclusion.</t>
  </si>
  <si>
    <t xml:space="preserve">Sampling Guide</t>
  </si>
  <si>
    <t xml:space="preserve">How sample sizes were chosen.</t>
  </si>
  <si>
    <t xml:space="preserve">AC-01 ... OP-02</t>
  </si>
  <si>
    <t xml:space="preserve">One test sheet per control, showing each sample and the result.</t>
  </si>
  <si>
    <t xml:space="preserve">Exceptions</t>
  </si>
  <si>
    <t xml:space="preserve">Findings, risk rating, recommendations and (simulated) management responses.</t>
  </si>
  <si>
    <t xml:space="preserve">Framework Mapping</t>
  </si>
  <si>
    <t xml:space="preserve">How each control links to ISO 27001:2022, DORA and SOC 2.</t>
  </si>
  <si>
    <t xml:space="preserve">Legend</t>
  </si>
  <si>
    <t xml:space="preserve">Blue text</t>
  </si>
  <si>
    <t xml:space="preserve">Evidence values entered from (simulated) client records</t>
  </si>
  <si>
    <t xml:space="preserve">Black bold text</t>
  </si>
  <si>
    <t xml:space="preserve">Formulas: test results are calculated, not typed</t>
  </si>
  <si>
    <t xml:space="preserve">Pass</t>
  </si>
  <si>
    <t xml:space="preserve">Sample met every test attribute</t>
  </si>
  <si>
    <t xml:space="preserve">Exception</t>
  </si>
  <si>
    <t xml:space="preserve">Sample failed at least one attribute; see Exceptions sheet</t>
  </si>
  <si>
    <t xml:space="preserve">Results Summary</t>
  </si>
  <si>
    <t xml:space="preserve">All figures below are formulas linked to the Control Matrix.</t>
  </si>
  <si>
    <t xml:space="preserve">Measure</t>
  </si>
  <si>
    <t xml:space="preserve">Result</t>
  </si>
  <si>
    <t xml:space="preserve">Controls effective</t>
  </si>
  <si>
    <t xml:space="preserve">Controls with exceptions</t>
  </si>
  <si>
    <t xml:space="preserve">Total samples tested</t>
  </si>
  <si>
    <t xml:space="preserve">Total exceptions</t>
  </si>
  <si>
    <t xml:space="preserve">Exception rate</t>
  </si>
  <si>
    <t xml:space="preserve">Overall conclusion</t>
  </si>
  <si>
    <t xml:space="preserve">Key ITGCs over LedgerCore were designed appropriately and operated effectively during the period, except for one late leaver removal (EX-01) and one emergency change deployed before approval (EX-02). Both are rated Medium, and no evidence was found that either weakness was exploited.</t>
  </si>
  <si>
    <t xml:space="preserve">Scope and Systems</t>
  </si>
  <si>
    <t xml:space="preserve">Company</t>
  </si>
  <si>
    <t xml:space="preserve">Harbourline Payments Ltd (fictional). Approx. 180 staff, Dublin HQ. Payment institution serving small and medium businesses in Ireland and the UK.</t>
  </si>
  <si>
    <t xml:space="preserve">Why ITGCs matter</t>
  </si>
  <si>
    <t xml:space="preserve">Financial figures (fees, settlements, refunds) are calculated by the systems below. If access, changes or operations are not controlled, the numbers those systems produce cannot be trusted.</t>
  </si>
  <si>
    <t xml:space="preserve">Regulatory context</t>
  </si>
  <si>
    <t xml:space="preserve">As a payment institution, Harbourline is a financial entity within the scope of DORA, so ICT risk controls such as access management, change management and backups are also regulatory expectations.</t>
  </si>
  <si>
    <t xml:space="preserve">System</t>
  </si>
  <si>
    <t xml:space="preserve">Purpose</t>
  </si>
  <si>
    <t xml:space="preserve">Hosting</t>
  </si>
  <si>
    <t xml:space="preserve">Why in scope</t>
  </si>
  <si>
    <t xml:space="preserve">LedgerCore</t>
  </si>
  <si>
    <t xml:space="preserve">In-house payments and billing application: fees, settlements, refunds, invoicing</t>
  </si>
  <si>
    <t xml:space="preserve">Cloud (AWS)</t>
  </si>
  <si>
    <t xml:space="preserve">Generates the revenue and settlement figures used in financial reporting</t>
  </si>
  <si>
    <t xml:space="preserve">LedgerCore production database (PostgreSQL)</t>
  </si>
  <si>
    <t xml:space="preserve">Stores all transaction and customer billing data</t>
  </si>
  <si>
    <t xml:space="preserve">Direct changes to data could alter reported figures</t>
  </si>
  <si>
    <t xml:space="preserve">CI/CD deployment pipeline</t>
  </si>
  <si>
    <t xml:space="preserve">Builds and releases code changes to production</t>
  </si>
  <si>
    <t xml:space="preserve">Controls how changes reach the financial system</t>
  </si>
  <si>
    <t xml:space="preserve">Out of scope</t>
  </si>
  <si>
    <t xml:space="preserve">Physical and network security, end-user devices, and third-party SaaS tools (e.g., HR and ticketing platforms). In a real engagement, controls at these service providers would be covered by reviewing their own SOC reports.</t>
  </si>
  <si>
    <t xml:space="preserve">Exceptions and conclusions are calculated from each test sheet.</t>
  </si>
  <si>
    <t xml:space="preserve">Control ID</t>
  </si>
  <si>
    <t xml:space="preserve">ITGC domain</t>
  </si>
  <si>
    <t xml:space="preserve">Control objective</t>
  </si>
  <si>
    <t xml:space="preserve">Control description</t>
  </si>
  <si>
    <t xml:space="preserve">Owner</t>
  </si>
  <si>
    <t xml:space="preserve">Frequency</t>
  </si>
  <si>
    <t xml:space="preserve">Type</t>
  </si>
  <si>
    <t xml:space="preserve">Nature</t>
  </si>
  <si>
    <t xml:space="preserve">Population</t>
  </si>
  <si>
    <t xml:space="preserve">Sample size</t>
  </si>
  <si>
    <t xml:space="preserve">How it was tested</t>
  </si>
  <si>
    <t xml:space="preserve">Conclusion</t>
  </si>
  <si>
    <t xml:space="preserve">AC-01</t>
  </si>
  <si>
    <t xml:space="preserve">Access to programs &amp; data</t>
  </si>
  <si>
    <t xml:space="preserve">Only current staff can access financial systems</t>
  </si>
  <si>
    <t xml:space="preserve">Leaver access to LedgerCore and the production database is removed within 1 business day of termination.</t>
  </si>
  <si>
    <t xml:space="preserve">IT Service Desk Lead</t>
  </si>
  <si>
    <t xml:space="preserve">Event-driven</t>
  </si>
  <si>
    <t xml:space="preserve">Preventive</t>
  </si>
  <si>
    <t xml:space="preserve">Manual</t>
  </si>
  <si>
    <t xml:space="preserve">Inspect HR leaver report, access removal tickets and system logs.</t>
  </si>
  <si>
    <t xml:space="preserve">AC-02</t>
  </si>
  <si>
    <t xml:space="preserve">Access stays appropriate over time, especially privileged access</t>
  </si>
  <si>
    <t xml:space="preserve">Quarterly review of all user and privileged accounts by the system owner; inappropriate access removed within 5 business days.</t>
  </si>
  <si>
    <t xml:space="preserve">Head of Payments Ops</t>
  </si>
  <si>
    <t xml:space="preserve">Quarterly</t>
  </si>
  <si>
    <t xml:space="preserve">Detective</t>
  </si>
  <si>
    <t xml:space="preserve">Inspect signed reviews, agree user list to system extract, trace removals.</t>
  </si>
  <si>
    <t xml:space="preserve">CM-01</t>
  </si>
  <si>
    <t xml:space="preserve">Program change</t>
  </si>
  <si>
    <t xml:space="preserve">Only tested, approved changes reach production</t>
  </si>
  <si>
    <t xml:space="preserve">Changes are tested in UAT and approved by CAB before deployment; emergency changes need prior CTO approval.</t>
  </si>
  <si>
    <t xml:space="preserve">Change Manager</t>
  </si>
  <si>
    <t xml:space="preserve">Inspect tickets for UAT evidence and compare approval date with deployment date.</t>
  </si>
  <si>
    <t xml:space="preserve">CM-02</t>
  </si>
  <si>
    <t xml:space="preserve">Developers cannot push their own code live</t>
  </si>
  <si>
    <t xml:space="preserve">Only Release/DevOps staff can deploy; the pipeline enforces a second approver.</t>
  </si>
  <si>
    <t xml:space="preserve">Release Manager</t>
  </si>
  <si>
    <t xml:space="preserve">Continuous</t>
  </si>
  <si>
    <t xml:space="preserve">Automated</t>
  </si>
  <si>
    <t xml:space="preserve">Inspect pipeline permissions against HR roles; inspect pipeline approval setting.</t>
  </si>
  <si>
    <t xml:space="preserve">OP-01</t>
  </si>
  <si>
    <t xml:space="preserve">Computer operations</t>
  </si>
  <si>
    <t xml:space="preserve">Financial data can be recovered if lost</t>
  </si>
  <si>
    <t xml:space="preserve">Daily automated backups; failures are alerted, ticketed and re-run within 24 hours.</t>
  </si>
  <si>
    <t xml:space="preserve">Infrastructure Lead</t>
  </si>
  <si>
    <t xml:space="preserve">Daily</t>
  </si>
  <si>
    <t xml:space="preserve">Automated with manual follow-up</t>
  </si>
  <si>
    <t xml:space="preserve">Inspect backup job history; for failures, inspect alert, ticket and re-run.</t>
  </si>
  <si>
    <t xml:space="preserve">OP-02</t>
  </si>
  <si>
    <t xml:space="preserve">Backups actually work when needed</t>
  </si>
  <si>
    <t xml:space="preserve">Quarterly restore test to a test environment, with integrity check and timing against the 4-hour RTO.</t>
  </si>
  <si>
    <t xml:space="preserve">Inspect restore test records and compare restore time to RTO.</t>
  </si>
  <si>
    <t xml:space="preserve">Illustrative ranges based on common audit practice. Each firm applies its own methodology.</t>
  </si>
  <si>
    <t xml:space="preserve">Control frequency</t>
  </si>
  <si>
    <t xml:space="preserve">Typical sample size</t>
  </si>
  <si>
    <t xml:space="preserve">Used in this project</t>
  </si>
  <si>
    <t xml:space="preserve">Annual</t>
  </si>
  <si>
    <t xml:space="preserve">1</t>
  </si>
  <si>
    <t xml:space="preserve">-</t>
  </si>
  <si>
    <t xml:space="preserve">2</t>
  </si>
  <si>
    <t xml:space="preserve">AC-02, OP-02: both quarters tested</t>
  </si>
  <si>
    <t xml:space="preserve">Monthly</t>
  </si>
  <si>
    <t xml:space="preserve">2 to 5</t>
  </si>
  <si>
    <t xml:space="preserve">Weekly</t>
  </si>
  <si>
    <t xml:space="preserve">5 to 15</t>
  </si>
  <si>
    <t xml:space="preserve">20 to 40</t>
  </si>
  <si>
    <t xml:space="preserve">OP-01: 25 days</t>
  </si>
  <si>
    <t xml:space="preserve">Event-driven (many times a year)</t>
  </si>
  <si>
    <t xml:space="preserve">Depends on population size, often 25 or more</t>
  </si>
  <si>
    <t xml:space="preserve">AC-01: 10 of 18 leavers; CM-01: 15 of 60 changes (smaller samples chosen for this learning project)</t>
  </si>
  <si>
    <t xml:space="preserve">Automated / continuous</t>
  </si>
  <si>
    <t xml:space="preserve">Test of one, if IT general controls are effective</t>
  </si>
  <si>
    <t xml:space="preserve">CM-02: all 6 accounts plus pipeline setting</t>
  </si>
  <si>
    <t xml:space="preserve">Key idea</t>
  </si>
  <si>
    <t xml:space="preserve">Auditors test a sample rather than every item. If the sample has no exceptions, they can reasonably conclude the control worked across the whole period.</t>
  </si>
  <si>
    <t xml:space="preserve">AC-01  Timely removal of leaver access</t>
  </si>
  <si>
    <t xml:space="preserve">Control</t>
  </si>
  <si>
    <t xml:space="preserve">HR's leaver report triggers a Service Desk ticket. Access to LedgerCore and the production database is removed within 1 business day of the termination date.</t>
  </si>
  <si>
    <t xml:space="preserve">18 leavers between 1 Jan and 30 Jun 2026 (per HR leaver report). Completeness checked by agreeing the report to the payroll leaver list.</t>
  </si>
  <si>
    <t xml:space="preserve">Sample</t>
  </si>
  <si>
    <t xml:space="preserve">10 leavers selected at random.</t>
  </si>
  <si>
    <t xml:space="preserve">Test attributes</t>
  </si>
  <si>
    <t xml:space="preserve">A) Access removed from every system the leaver held.  B) Removal within 1 business day of termination.  C) Where late, check system logs for any log-ins after termination.</t>
  </si>
  <si>
    <t xml:space="preserve">#</t>
  </si>
  <si>
    <t xml:space="preserve">Employee ID</t>
  </si>
  <si>
    <t xml:space="preserve">Department</t>
  </si>
  <si>
    <t xml:space="preserve">Termination date</t>
  </si>
  <si>
    <t xml:space="preserve">LedgerCore access removed</t>
  </si>
  <si>
    <t xml:space="preserve">Database access removed</t>
  </si>
  <si>
    <t xml:space="preserve">Latest removal date</t>
  </si>
  <si>
    <t xml:space="preserve">Business days to removal</t>
  </si>
  <si>
    <t xml:space="preserve">Log-ins after termination</t>
  </si>
  <si>
    <t xml:space="preserve">E1042</t>
  </si>
  <si>
    <t xml:space="preserve">Finance</t>
  </si>
  <si>
    <t xml:space="preserve">No access held</t>
  </si>
  <si>
    <t xml:space="preserve">E1108</t>
  </si>
  <si>
    <t xml:space="preserve">Engineering</t>
  </si>
  <si>
    <t xml:space="preserve">E1077</t>
  </si>
  <si>
    <t xml:space="preserve">Customer Operations</t>
  </si>
  <si>
    <t xml:space="preserve">E1150</t>
  </si>
  <si>
    <t xml:space="preserve">E1019</t>
  </si>
  <si>
    <t xml:space="preserve">Sales</t>
  </si>
  <si>
    <t xml:space="preserve">E1163</t>
  </si>
  <si>
    <t xml:space="preserve">Risk &amp; Compliance</t>
  </si>
  <si>
    <t xml:space="preserve">E1091</t>
  </si>
  <si>
    <t xml:space="preserve">E1134</t>
  </si>
  <si>
    <t xml:space="preserve">E1177</t>
  </si>
  <si>
    <t xml:space="preserve">E1056</t>
  </si>
  <si>
    <t xml:space="preserve">Marketing</t>
  </si>
  <si>
    <t xml:space="preserve">Note: E1019 access removed 8 business days after termination (see Exceptions, EX-01). Logs show no log-ins after termination.</t>
  </si>
  <si>
    <t xml:space="preserve">AC-02  Quarterly user access review (including privileged accounts)</t>
  </si>
  <si>
    <t xml:space="preserve">Each quarter the LedgerCore system owner reviews all user and privileged accounts. The review is completed within 15 days of quarter end, and inappropriate access is removed within 5 business days of sign-off.</t>
  </si>
  <si>
    <t xml:space="preserve">2 quarterly reviews covering the period (Q1 and Q2 2026).</t>
  </si>
  <si>
    <t xml:space="preserve">Both reviews tested (100%).</t>
  </si>
  <si>
    <t xml:space="preserve">A) Review completed by the due date.  B) Performed by the system owner.  C) User list was complete (agreed to system extract).  D) Flagged accounts removed within 5 business days.</t>
  </si>
  <si>
    <t xml:space="preserve">Quarter</t>
  </si>
  <si>
    <t xml:space="preserve">Due date</t>
  </si>
  <si>
    <t xml:space="preserve">Completed</t>
  </si>
  <si>
    <t xml:space="preserve">Reviewer</t>
  </si>
  <si>
    <t xml:space="preserve">User list complete?</t>
  </si>
  <si>
    <t xml:space="preserve">Accounts reviewed</t>
  </si>
  <si>
    <t xml:space="preserve">Accounts flagged</t>
  </si>
  <si>
    <t xml:space="preserve">Flagged access removed</t>
  </si>
  <si>
    <t xml:space="preserve">On time?</t>
  </si>
  <si>
    <t xml:space="preserve">Q1 2026</t>
  </si>
  <si>
    <t xml:space="preserve">System owner (Head of Payments Ops)</t>
  </si>
  <si>
    <t xml:space="preserve">Yes</t>
  </si>
  <si>
    <t xml:space="preserve">Q2 2026</t>
  </si>
  <si>
    <t xml:space="preserve">CM-01  Change approval and testing before deployment</t>
  </si>
  <si>
    <t xml:space="preserve">Every change to LedgerCore is logged in the ticketing tool, tested in UAT, and approved by the Change Advisory Board (CAB) before the Release team deploys it. Emergency changes need documented CTO approval before deployment.</t>
  </si>
  <si>
    <t xml:space="preserve">60 production changes between 1 Jan and 30 Jun 2026 (ticketing tool export, agreed to the deployment log for completeness).</t>
  </si>
  <si>
    <t xml:space="preserve">15 changes selected at random, including 2 emergency changes.</t>
  </si>
  <si>
    <t xml:space="preserve">A) UAT evidence exists.  B) Approval dated on or before deployment.  C) Deployed by the Release team, not the developer.</t>
  </si>
  <si>
    <t xml:space="preserve">Change ID</t>
  </si>
  <si>
    <t xml:space="preserve">Description</t>
  </si>
  <si>
    <t xml:space="preserve">UAT evidence?</t>
  </si>
  <si>
    <t xml:space="preserve">Approval date</t>
  </si>
  <si>
    <t xml:space="preserve">Deployment date</t>
  </si>
  <si>
    <t xml:space="preserve">Deployed by</t>
  </si>
  <si>
    <t xml:space="preserve">Approved before deployment?</t>
  </si>
  <si>
    <t xml:space="preserve">CHG-1004</t>
  </si>
  <si>
    <t xml:space="preserve">Fix rounding error in FX fee calculation</t>
  </si>
  <si>
    <t xml:space="preserve">Standard</t>
  </si>
  <si>
    <t xml:space="preserve">Release team</t>
  </si>
  <si>
    <t xml:space="preserve">CHG-1011</t>
  </si>
  <si>
    <t xml:space="preserve">Add IBAN validation to payee set-up</t>
  </si>
  <si>
    <t xml:space="preserve">CHG-1016</t>
  </si>
  <si>
    <t xml:space="preserve">Upgrade payment API library</t>
  </si>
  <si>
    <t xml:space="preserve">CHG-1020</t>
  </si>
  <si>
    <t xml:space="preserve">Update monthly invoice PDF template</t>
  </si>
  <si>
    <t xml:space="preserve">CHG-1024</t>
  </si>
  <si>
    <t xml:space="preserve">Database index for settlement reports</t>
  </si>
  <si>
    <t xml:space="preserve">CHG-1029</t>
  </si>
  <si>
    <t xml:space="preserve">New role for Customer Ops refunds</t>
  </si>
  <si>
    <t xml:space="preserve">CHG-1033</t>
  </si>
  <si>
    <t xml:space="preserve">Shorten session timeout setting</t>
  </si>
  <si>
    <t xml:space="preserve">CHG-1038</t>
  </si>
  <si>
    <t xml:space="preserve">Settlement batch job schedule change</t>
  </si>
  <si>
    <t xml:space="preserve">CHG-1047</t>
  </si>
  <si>
    <t xml:space="preserve">Hotfix: duplicate payment notifications</t>
  </si>
  <si>
    <t xml:space="preserve">Emergency</t>
  </si>
  <si>
    <t xml:space="preserve">CHG-1051</t>
  </si>
  <si>
    <t xml:space="preserve">Add audit log field for refund approvals</t>
  </si>
  <si>
    <t xml:space="preserve">CHG-1055</t>
  </si>
  <si>
    <t xml:space="preserve">Update TLS configuration on API gateway</t>
  </si>
  <si>
    <t xml:space="preserve">CHG-1060</t>
  </si>
  <si>
    <t xml:space="preserve">Chargeback status dashboard</t>
  </si>
  <si>
    <t xml:space="preserve">CHG-1064</t>
  </si>
  <si>
    <t xml:space="preserve">Emergency: fix failed SEPA file export</t>
  </si>
  <si>
    <t xml:space="preserve">CHG-1069</t>
  </si>
  <si>
    <t xml:space="preserve">Increase minimum password length</t>
  </si>
  <si>
    <t xml:space="preserve">CHG-1072</t>
  </si>
  <si>
    <t xml:space="preserve">Reconciliation report column change</t>
  </si>
  <si>
    <t xml:space="preserve">Note: CHG-1047 was deployed 2 days before approval, with no documented emergency justification (EX-02). CHG-1064 shows an emergency change handled correctly.</t>
  </si>
  <si>
    <t xml:space="preserve">CM-02  Segregation of duties: developers cannot deploy to production</t>
  </si>
  <si>
    <t xml:space="preserve">Only Release and DevOps staff hold production deployment rights in the CI/CD pipeline, and every deployment needs a second approver. Developers cannot deploy their own code.</t>
  </si>
  <si>
    <t xml:space="preserve">6 accounts with production deployment rights (pipeline permission export, 30 Jun 2026).</t>
  </si>
  <si>
    <t xml:space="preserve">All 6 accounts tested (100%). Pipeline configuration inspected: second approver is enforced (Yes).</t>
  </si>
  <si>
    <t xml:space="preserve">A) Account holder's role (per HR) is in Release or DevOps.  B) Account holder is not in the development team.</t>
  </si>
  <si>
    <t xml:space="preserve">Account</t>
  </si>
  <si>
    <t xml:space="preserve">Role per HR</t>
  </si>
  <si>
    <t xml:space="preserve">Team</t>
  </si>
  <si>
    <t xml:space="preserve">Release / DevOps role?</t>
  </si>
  <si>
    <t xml:space="preserve">In development team?</t>
  </si>
  <si>
    <t xml:space="preserve">usr_rel01</t>
  </si>
  <si>
    <t xml:space="preserve">Release Engineer</t>
  </si>
  <si>
    <t xml:space="preserve">Release</t>
  </si>
  <si>
    <t xml:space="preserve">No</t>
  </si>
  <si>
    <t xml:space="preserve">usr_rel02</t>
  </si>
  <si>
    <t xml:space="preserve">usr_ops01</t>
  </si>
  <si>
    <t xml:space="preserve">DevOps Engineer</t>
  </si>
  <si>
    <t xml:space="preserve">DevOps</t>
  </si>
  <si>
    <t xml:space="preserve">usr_ops02</t>
  </si>
  <si>
    <t xml:space="preserve">usr_rel03</t>
  </si>
  <si>
    <t xml:space="preserve">svc_pipeline</t>
  </si>
  <si>
    <t xml:space="preserve">Service account (owner: Release Manager)</t>
  </si>
  <si>
    <t xml:space="preserve">OP-01  Daily backup monitoring and failure resolution</t>
  </si>
  <si>
    <t xml:space="preserve">The production database is backed up automatically every day. Failed backups raise an alert, and the Infrastructure team logs a ticket and re-runs the backup successfully within 24 hours.</t>
  </si>
  <si>
    <t xml:space="preserve">181 daily backup jobs between 1 Jan and 30 Jun 2026 (backup tool job history).</t>
  </si>
  <si>
    <t xml:space="preserve">25 days selected at random.</t>
  </si>
  <si>
    <t xml:space="preserve">A) Backup succeeded, OR  B) if it failed: alert raised, ticket logged, and successful re-run within 24 hours.</t>
  </si>
  <si>
    <t xml:space="preserve">Backup date</t>
  </si>
  <si>
    <t xml:space="preserve">Job status</t>
  </si>
  <si>
    <t xml:space="preserve">Alert raised?</t>
  </si>
  <si>
    <t xml:space="preserve">Ticket</t>
  </si>
  <si>
    <t xml:space="preserve">Successful re-run within 24h?</t>
  </si>
  <si>
    <t xml:space="preserve">Success</t>
  </si>
  <si>
    <t xml:space="preserve">N/A</t>
  </si>
  <si>
    <t xml:space="preserve">Failed</t>
  </si>
  <si>
    <t xml:space="preserve">INC-2210</t>
  </si>
  <si>
    <t xml:space="preserve">INC-2291</t>
  </si>
  <si>
    <t xml:space="preserve">Note: 2 failed backups in the sample were alerted, ticketed and re-run successfully the same day, so the control worked as designed.</t>
  </si>
  <si>
    <t xml:space="preserve">OP-02  Quarterly backup restoration testing</t>
  </si>
  <si>
    <t xml:space="preserve">Each quarter the Infrastructure team restores the production database to a test environment, checks data integrity, and records the time taken against the 4-hour recovery time objective (RTO).</t>
  </si>
  <si>
    <t xml:space="preserve">2 quarterly restore tests (Q1 and Q2 2026).</t>
  </si>
  <si>
    <t xml:space="preserve">Both tests (100%).</t>
  </si>
  <si>
    <t xml:space="preserve">A) Restore succeeded.  B) Data integrity check performed.  C) Restore time within the RTO.</t>
  </si>
  <si>
    <t xml:space="preserve">Test date</t>
  </si>
  <si>
    <t xml:space="preserve">System restored</t>
  </si>
  <si>
    <t xml:space="preserve">Restore successful?</t>
  </si>
  <si>
    <t xml:space="preserve">Integrity check done?</t>
  </si>
  <si>
    <t xml:space="preserve">RTO target (hours)</t>
  </si>
  <si>
    <t xml:space="preserve">Actual time (hours)</t>
  </si>
  <si>
    <t xml:space="preserve">Within RTO?</t>
  </si>
  <si>
    <t xml:space="preserve">LedgerCore production database</t>
  </si>
  <si>
    <t xml:space="preserve">Exceptions Log</t>
  </si>
  <si>
    <t xml:space="preserve">Management responses are simulated for this portfolio project.</t>
  </si>
  <si>
    <t xml:space="preserve">Ref</t>
  </si>
  <si>
    <t xml:space="preserve">What we found</t>
  </si>
  <si>
    <t xml:space="preserve">Root cause</t>
  </si>
  <si>
    <t xml:space="preserve">Risk</t>
  </si>
  <si>
    <t xml:space="preserve">Mitigating factors</t>
  </si>
  <si>
    <t xml:space="preserve">Rating</t>
  </si>
  <si>
    <t xml:space="preserve">Recommendation</t>
  </si>
  <si>
    <t xml:space="preserve">Management response (simulated)</t>
  </si>
  <si>
    <t xml:space="preserve">Target date</t>
  </si>
  <si>
    <t xml:space="preserve">EX-01</t>
  </si>
  <si>
    <t xml:space="preserve">1 of 10 leavers (E1019) kept LedgerCore access for 8 business days after leaving.</t>
  </si>
  <si>
    <t xml:space="preserve">Leaver ticket was assigned to a Service Desk queue that was not monitored during a staff absence.</t>
  </si>
  <si>
    <t xml:space="preserve">A former employee could have accessed or changed financial data.</t>
  </si>
  <si>
    <t xml:space="preserve">System logs show no log-ins after termination. User held read-only Sales access.</t>
  </si>
  <si>
    <t xml:space="preserve">Medium</t>
  </si>
  <si>
    <t xml:space="preserve">Automate access removal from the HR leaver feed, or add a daily check of unactioned leaver tickets.</t>
  </si>
  <si>
    <t xml:space="preserve">Agreed. Daily leaver ticket check introduced; automated HR feed in the Q4 roadmap.</t>
  </si>
  <si>
    <t xml:space="preserve">EX-02</t>
  </si>
  <si>
    <t xml:space="preserve">1 of 15 changes (CHG-1047, emergency hotfix) was deployed 2 days before approval, with no documented emergency justification.</t>
  </si>
  <si>
    <t xml:space="preserve">Emergency process was followed verbally out of hours; approval and justification were not recorded at the time.</t>
  </si>
  <si>
    <t xml:space="preserve">Unapproved changes could introduce errors into payment calculations without oversight.</t>
  </si>
  <si>
    <t xml:space="preserve">Retrospective CAB review found the change worked as intended; no adverse impact identified.</t>
  </si>
  <si>
    <t xml:space="preserve">Require documented CTO approval in the ticket before any emergency deployment, and review all emergency changes at the next CAB.</t>
  </si>
  <si>
    <t xml:space="preserve">Agreed. Ticket workflow updated to block emergency deployment without recorded approval.</t>
  </si>
  <si>
    <t xml:space="preserve">Rating key</t>
  </si>
  <si>
    <t xml:space="preserve">High: control failure could directly cause a material error or breach, no mitigation.  Medium: real weakness, but limited impact or mitigating factors exist.  Low: minor process or documentation gap.</t>
  </si>
  <si>
    <t xml:space="preserve">Indicative mapping for learning purposes. Always confirm against the source text.</t>
  </si>
  <si>
    <t xml:space="preserve">ISO 27001:2022 Annex A</t>
  </si>
  <si>
    <t xml:space="preserve">DORA (Regulation (EU) 2022/2554)</t>
  </si>
  <si>
    <t xml:space="preserve">SOC 2 Trust Services Criteria (2017)</t>
  </si>
  <si>
    <t xml:space="preserve">Why it matters</t>
  </si>
  <si>
    <t xml:space="preserve">AC-01 Leaver access</t>
  </si>
  <si>
    <t xml:space="preserve">A.5.18 Access rights; A.6.5 Responsibilities after termination or change of employment</t>
  </si>
  <si>
    <t xml:space="preserve">Art. 9(4)(c) access policies and administration of access rights</t>
  </si>
  <si>
    <t xml:space="preserve">CC6.2, CC6.3</t>
  </si>
  <si>
    <t xml:space="preserve">Stops former staff using old accounts</t>
  </si>
  <si>
    <t xml:space="preserve">AC-02 Access review</t>
  </si>
  <si>
    <t xml:space="preserve">A.5.18 Access rights; A.8.2 Privileged access rights</t>
  </si>
  <si>
    <t xml:space="preserve">Art. 9(4)(c); further detailed in the RTS on ICT risk management (Delegated Regulation (EU) 2024/1774)</t>
  </si>
  <si>
    <t xml:space="preserve">Catches access that has built up or is no longer needed</t>
  </si>
  <si>
    <t xml:space="preserve">CM-01 Change approval</t>
  </si>
  <si>
    <t xml:space="preserve">A.8.32 Change management; A.8.29 Security testing in development and acceptance</t>
  </si>
  <si>
    <t xml:space="preserve">Art. 9(4)(e) ICT change management</t>
  </si>
  <si>
    <t xml:space="preserve">CC8.1</t>
  </si>
  <si>
    <t xml:space="preserve">Prevents untested or unauthorised changes to financial calculations</t>
  </si>
  <si>
    <t xml:space="preserve">CM-02 Segregation of duties</t>
  </si>
  <si>
    <t xml:space="preserve">A.5.3 Segregation of duties; A.8.31 Separation of development, test and production environments</t>
  </si>
  <si>
    <t xml:space="preserve">Art. 9(4)(c) and (e)</t>
  </si>
  <si>
    <t xml:space="preserve">No one person can write and release code on their own</t>
  </si>
  <si>
    <t xml:space="preserve">OP-01 Backup monitoring</t>
  </si>
  <si>
    <t xml:space="preserve">A.8.13 Information backup; A.8.16 Monitoring activities</t>
  </si>
  <si>
    <t xml:space="preserve">Art. 12 backup policies, restoration and recovery</t>
  </si>
  <si>
    <t xml:space="preserve">A1.2</t>
  </si>
  <si>
    <t xml:space="preserve">Makes sure data can be recovered</t>
  </si>
  <si>
    <t xml:space="preserve">OP-02 Restore testing</t>
  </si>
  <si>
    <t xml:space="preserve">A.8.13 Information backup; A.5.30 ICT readiness for business continuity</t>
  </si>
  <si>
    <t xml:space="preserve">Art. 12; Art. 11 response and recovery</t>
  </si>
  <si>
    <t xml:space="preserve">A1.3</t>
  </si>
  <si>
    <t xml:space="preserve">Proves backups work before they are needed</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</si>
</sst>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dd/mm/yyyy"/>
    <numFmt numFmtId="169" formatCode="0.0"/>
  </numFmts>
  <fonts count="15">
    <font>
      <sz val="11"/>
      <color theme="1"/>
      <name val="Calibri"/>
      <family val="2"/>
      <charset val="1"/>
    </font>
    <font>
      <sz val="10"/>
      <name val="Arial"/>
      <family val="0"/>
    </font>
    <font>
      <sz val="10"/>
      <name val="Arial"/>
      <family val="0"/>
    </font>
    <font>
      <sz val="10"/>
      <name val="Arial"/>
      <family val="0"/>
    </font>
    <font>
      <b val="true"/>
      <sz val="14"/>
      <color rgb="FF2E2E38"/>
      <name val="Arial"/>
      <family val="0"/>
      <charset val="1"/>
    </font>
    <font>
      <i val="true"/>
      <sz val="9"/>
      <color rgb="FF595959"/>
      <name val="Arial"/>
      <family val="0"/>
      <charset val="1"/>
    </font>
    <font>
      <b val="true"/>
      <sz val="9"/>
      <color rgb="FF2E2E38"/>
      <name val="Arial"/>
      <family val="0"/>
      <charset val="1"/>
    </font>
    <font>
      <sz val="9"/>
      <name val="Arial"/>
      <family val="0"/>
      <charset val="1"/>
    </font>
    <font>
      <b val="true"/>
      <sz val="11"/>
      <color rgb="FF2E2E38"/>
      <name val="Arial"/>
      <family val="0"/>
      <charset val="1"/>
    </font>
    <font>
      <sz val="9"/>
      <color rgb="FF0000FF"/>
      <name val="Arial"/>
      <family val="0"/>
      <charset val="1"/>
    </font>
    <font>
      <b val="true"/>
      <sz val="9"/>
      <name val="Arial"/>
      <family val="0"/>
      <charset val="1"/>
    </font>
    <font>
      <b val="true"/>
      <sz val="9"/>
      <color rgb="FFFFFFFF"/>
      <name val="Arial"/>
      <family val="0"/>
      <charset val="1"/>
    </font>
    <font>
      <sz val="9"/>
      <color rgb="FF000000"/>
      <name val="Arial"/>
      <family val="0"/>
      <charset val="1"/>
    </font>
    <font>
      <b val="true"/>
      <sz val="9"/>
      <color rgb="FF000000"/>
      <name val="Arial"/>
      <family val="0"/>
      <charset val="1"/>
    </font>
    <font>
      <i val="true"/>
      <sz val="9"/>
      <name val="Arial"/>
      <family val="0"/>
      <charset val="1"/>
    </font>
  </fonts>
  <fills count="5">
    <fill>
      <patternFill patternType="none"/>
    </fill>
    <fill>
      <patternFill patternType="gray125"/>
    </fill>
    <fill>
      <patternFill patternType="solid">
        <fgColor rgb="FFE2EFDA"/>
        <bgColor rgb="FFFFFFCC"/>
      </patternFill>
    </fill>
    <fill>
      <patternFill patternType="solid">
        <fgColor rgb="FFF8CBAD"/>
        <bgColor rgb="FFBFBFBF"/>
      </patternFill>
    </fill>
    <fill>
      <patternFill patternType="solid">
        <fgColor rgb="FF2E2E38"/>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11" fillId="4" borderId="1" xfId="0" applyFont="true" applyBorder="true" applyAlignment="true" applyProtection="true">
      <alignment horizontal="general" vertical="center" textRotation="0" wrapText="true" indent="0" shrinkToFit="false"/>
      <protection locked="true" hidden="false"/>
    </xf>
    <xf numFmtId="164" fontId="12" fillId="0" borderId="1" xfId="0" applyFont="true" applyBorder="true" applyAlignment="true" applyProtection="true">
      <alignment horizontal="general" vertical="top" textRotation="0" wrapText="true" indent="0" shrinkToFit="false"/>
      <protection locked="true" hidden="false"/>
    </xf>
    <xf numFmtId="165" fontId="13" fillId="0" borderId="1" xfId="0" applyFont="true" applyBorder="true" applyAlignment="true" applyProtection="true">
      <alignment horizontal="general" vertical="top" textRotation="0" wrapText="true" indent="0" shrinkToFit="false"/>
      <protection locked="true" hidden="false"/>
    </xf>
    <xf numFmtId="166" fontId="13"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7" fontId="9" fillId="0" borderId="1" xfId="0" applyFont="true" applyBorder="true" applyAlignment="true" applyProtection="true">
      <alignment horizontal="general" vertical="top" textRotation="0" wrapText="true" indent="0" shrinkToFit="false"/>
      <protection locked="true" hidden="false"/>
    </xf>
    <xf numFmtId="165" fontId="9" fillId="0" borderId="1" xfId="0" applyFont="true" applyBorder="true" applyAlignment="true" applyProtection="true">
      <alignment horizontal="general" vertical="top" textRotation="0" wrapText="true" indent="0" shrinkToFit="false"/>
      <protection locked="true" hidden="false"/>
    </xf>
    <xf numFmtId="164" fontId="13" fillId="0" borderId="1" xfId="0" applyFont="true" applyBorder="true" applyAlignment="true" applyProtection="true">
      <alignment horizontal="general" vertical="top" textRotation="0" wrapText="true" indent="0" shrinkToFit="false"/>
      <protection locked="true" hidden="false"/>
    </xf>
    <xf numFmtId="168" fontId="9" fillId="0" borderId="1" xfId="0" applyFont="true" applyBorder="true" applyAlignment="true" applyProtection="true">
      <alignment horizontal="general" vertical="top" textRotation="0" wrapText="true" indent="0" shrinkToFit="false"/>
      <protection locked="true" hidden="false"/>
    </xf>
    <xf numFmtId="168" fontId="13" fillId="0" borderId="1" xfId="0" applyFont="true" applyBorder="tru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9" fontId="9"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E2E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9" min="2" style="1" width="14"/>
  </cols>
  <sheetData>
    <row r="1" customFormat="false" ht="17.35" hidden="false" customHeight="false" outlineLevel="0" collapsed="false">
      <c r="A1" s="2" t="s">
        <v>0</v>
      </c>
    </row>
    <row r="2" customFormat="false" ht="15" hidden="false" customHeight="false" outlineLevel="0" collapsed="false">
      <c r="A2" s="3" t="s">
        <v>1</v>
      </c>
    </row>
    <row r="4" customFormat="false" ht="30" hidden="false" customHeight="true" outlineLevel="0" collapsed="false">
      <c r="A4" s="4" t="s">
        <v>2</v>
      </c>
      <c r="B4" s="5" t="s">
        <v>3</v>
      </c>
      <c r="C4" s="5"/>
      <c r="D4" s="5"/>
      <c r="E4" s="5"/>
      <c r="F4" s="5"/>
      <c r="G4" s="5"/>
      <c r="H4" s="5"/>
      <c r="I4" s="5"/>
    </row>
    <row r="5" customFormat="false" ht="30" hidden="false" customHeight="true" outlineLevel="0" collapsed="false">
      <c r="A5" s="4" t="s">
        <v>4</v>
      </c>
      <c r="B5" s="5" t="s">
        <v>5</v>
      </c>
      <c r="C5" s="5"/>
      <c r="D5" s="5"/>
      <c r="E5" s="5"/>
      <c r="F5" s="5"/>
      <c r="G5" s="5"/>
      <c r="H5" s="5"/>
      <c r="I5" s="5"/>
    </row>
    <row r="6" customFormat="false" ht="15.75" hidden="false" customHeight="true" outlineLevel="0" collapsed="false">
      <c r="A6" s="4" t="s">
        <v>6</v>
      </c>
      <c r="B6" s="5" t="s">
        <v>7</v>
      </c>
      <c r="C6" s="5"/>
      <c r="D6" s="5"/>
      <c r="E6" s="5"/>
      <c r="F6" s="5"/>
      <c r="G6" s="5"/>
      <c r="H6" s="5"/>
      <c r="I6" s="5"/>
    </row>
    <row r="7" customFormat="false" ht="30" hidden="false" customHeight="true" outlineLevel="0" collapsed="false">
      <c r="A7" s="4" t="s">
        <v>8</v>
      </c>
      <c r="B7" s="5" t="s">
        <v>9</v>
      </c>
      <c r="C7" s="5"/>
      <c r="D7" s="5"/>
      <c r="E7" s="5"/>
      <c r="F7" s="5"/>
      <c r="G7" s="5"/>
      <c r="H7" s="5"/>
      <c r="I7" s="5"/>
    </row>
    <row r="8" customFormat="false" ht="30" hidden="false" customHeight="true" outlineLevel="0" collapsed="false">
      <c r="A8" s="4" t="s">
        <v>10</v>
      </c>
      <c r="B8" s="5" t="s">
        <v>11</v>
      </c>
      <c r="C8" s="5"/>
      <c r="D8" s="5"/>
      <c r="E8" s="5"/>
      <c r="F8" s="5"/>
      <c r="G8" s="5"/>
      <c r="H8" s="5"/>
      <c r="I8" s="5"/>
    </row>
    <row r="10" customFormat="false" ht="15" hidden="false" customHeight="false" outlineLevel="0" collapsed="false">
      <c r="A10" s="6" t="s">
        <v>12</v>
      </c>
    </row>
    <row r="11" customFormat="false" ht="15.75" hidden="false" customHeight="true" outlineLevel="0" collapsed="false">
      <c r="A11" s="4" t="s">
        <v>13</v>
      </c>
      <c r="B11" s="5" t="s">
        <v>14</v>
      </c>
      <c r="C11" s="5"/>
      <c r="D11" s="5"/>
      <c r="E11" s="5"/>
      <c r="F11" s="5"/>
      <c r="G11" s="5"/>
      <c r="H11" s="5"/>
      <c r="I11" s="5"/>
    </row>
    <row r="12" customFormat="false" ht="15.75" hidden="false" customHeight="true" outlineLevel="0" collapsed="false">
      <c r="A12" s="4" t="s">
        <v>15</v>
      </c>
      <c r="B12" s="5" t="s">
        <v>16</v>
      </c>
      <c r="C12" s="5"/>
      <c r="D12" s="5"/>
      <c r="E12" s="5"/>
      <c r="F12" s="5"/>
      <c r="G12" s="5"/>
      <c r="H12" s="5"/>
      <c r="I12" s="5"/>
    </row>
    <row r="13" customFormat="false" ht="15.75" hidden="false" customHeight="true" outlineLevel="0" collapsed="false">
      <c r="A13" s="4" t="s">
        <v>17</v>
      </c>
      <c r="B13" s="5" t="s">
        <v>18</v>
      </c>
      <c r="C13" s="5"/>
      <c r="D13" s="5"/>
      <c r="E13" s="5"/>
      <c r="F13" s="5"/>
      <c r="G13" s="5"/>
      <c r="H13" s="5"/>
      <c r="I13" s="5"/>
    </row>
    <row r="14" customFormat="false" ht="15.75" hidden="false" customHeight="true" outlineLevel="0" collapsed="false">
      <c r="A14" s="4" t="s">
        <v>19</v>
      </c>
      <c r="B14" s="5" t="s">
        <v>20</v>
      </c>
      <c r="C14" s="5"/>
      <c r="D14" s="5"/>
      <c r="E14" s="5"/>
      <c r="F14" s="5"/>
      <c r="G14" s="5"/>
      <c r="H14" s="5"/>
      <c r="I14" s="5"/>
    </row>
    <row r="15" customFormat="false" ht="15.75" hidden="false" customHeight="true" outlineLevel="0" collapsed="false">
      <c r="A15" s="4" t="s">
        <v>21</v>
      </c>
      <c r="B15" s="5" t="s">
        <v>22</v>
      </c>
      <c r="C15" s="5"/>
      <c r="D15" s="5"/>
      <c r="E15" s="5"/>
      <c r="F15" s="5"/>
      <c r="G15" s="5"/>
      <c r="H15" s="5"/>
      <c r="I15" s="5"/>
    </row>
    <row r="16" customFormat="false" ht="15.75" hidden="false" customHeight="true" outlineLevel="0" collapsed="false">
      <c r="A16" s="4" t="s">
        <v>23</v>
      </c>
      <c r="B16" s="5" t="s">
        <v>24</v>
      </c>
      <c r="C16" s="5"/>
      <c r="D16" s="5"/>
      <c r="E16" s="5"/>
      <c r="F16" s="5"/>
      <c r="G16" s="5"/>
      <c r="H16" s="5"/>
      <c r="I16" s="5"/>
    </row>
    <row r="17" customFormat="false" ht="15.75" hidden="false" customHeight="true" outlineLevel="0" collapsed="false">
      <c r="A17" s="4" t="s">
        <v>25</v>
      </c>
      <c r="B17" s="5" t="s">
        <v>26</v>
      </c>
      <c r="C17" s="5"/>
      <c r="D17" s="5"/>
      <c r="E17" s="5"/>
      <c r="F17" s="5"/>
      <c r="G17" s="5"/>
      <c r="H17" s="5"/>
      <c r="I17" s="5"/>
    </row>
    <row r="19" customFormat="false" ht="15" hidden="false" customHeight="false" outlineLevel="0" collapsed="false">
      <c r="A19" s="6" t="s">
        <v>27</v>
      </c>
    </row>
    <row r="20" customFormat="false" ht="15" hidden="false" customHeight="false" outlineLevel="0" collapsed="false">
      <c r="A20" s="7" t="s">
        <v>28</v>
      </c>
      <c r="B20" s="8" t="s">
        <v>29</v>
      </c>
    </row>
    <row r="21" customFormat="false" ht="15" hidden="false" customHeight="false" outlineLevel="0" collapsed="false">
      <c r="A21" s="9" t="s">
        <v>30</v>
      </c>
      <c r="B21" s="8" t="s">
        <v>31</v>
      </c>
    </row>
    <row r="22" customFormat="false" ht="15" hidden="false" customHeight="false" outlineLevel="0" collapsed="false">
      <c r="A22" s="10" t="s">
        <v>32</v>
      </c>
      <c r="B22" s="8" t="s">
        <v>33</v>
      </c>
    </row>
    <row r="23" customFormat="false" ht="15" hidden="false" customHeight="false" outlineLevel="0" collapsed="false">
      <c r="A23" s="11" t="s">
        <v>34</v>
      </c>
      <c r="B23" s="8" t="s">
        <v>35</v>
      </c>
    </row>
  </sheetData>
  <mergeCells count="12">
    <mergeCell ref="B4:I4"/>
    <mergeCell ref="B5:I5"/>
    <mergeCell ref="B6:I6"/>
    <mergeCell ref="B7:I7"/>
    <mergeCell ref="B8:I8"/>
    <mergeCell ref="B11:I11"/>
    <mergeCell ref="B12:I12"/>
    <mergeCell ref="B13:I13"/>
    <mergeCell ref="B14:I14"/>
    <mergeCell ref="B15:I15"/>
    <mergeCell ref="B16:I16"/>
    <mergeCell ref="B17:I1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9" min="3" style="1" width="12"/>
  </cols>
  <sheetData>
    <row r="1" customFormat="false" ht="17.35" hidden="false" customHeight="false" outlineLevel="0" collapsed="false">
      <c r="A1" s="2" t="s">
        <v>36</v>
      </c>
    </row>
    <row r="2" customFormat="false" ht="15" hidden="false" customHeight="false" outlineLevel="0" collapsed="false">
      <c r="A2" s="3" t="s">
        <v>37</v>
      </c>
    </row>
    <row r="3" customFormat="false" ht="31.5" hidden="false" customHeight="true" outlineLevel="0" collapsed="false">
      <c r="A3" s="12" t="s">
        <v>38</v>
      </c>
      <c r="B3" s="12" t="s">
        <v>39</v>
      </c>
    </row>
    <row r="4" customFormat="false" ht="15" hidden="false" customHeight="false" outlineLevel="0" collapsed="false">
      <c r="A4" s="13" t="s">
        <v>8</v>
      </c>
      <c r="B4" s="14" t="n">
        <f aca="false">COUNTA('Control Matrix'!A5:A10)</f>
        <v>6</v>
      </c>
    </row>
    <row r="5" customFormat="false" ht="15" hidden="false" customHeight="false" outlineLevel="0" collapsed="false">
      <c r="A5" s="13" t="s">
        <v>40</v>
      </c>
      <c r="B5" s="14" t="n">
        <f aca="false">COUNTIF('Control Matrix'!M5:M10,"Effective")</f>
        <v>4</v>
      </c>
    </row>
    <row r="6" customFormat="false" ht="15" hidden="false" customHeight="false" outlineLevel="0" collapsed="false">
      <c r="A6" s="13" t="s">
        <v>41</v>
      </c>
      <c r="B6" s="14" t="n">
        <f aca="false">COUNTIF('Control Matrix'!M5:M10,"Exception noted")</f>
        <v>2</v>
      </c>
    </row>
    <row r="7" customFormat="false" ht="15" hidden="false" customHeight="false" outlineLevel="0" collapsed="false">
      <c r="A7" s="13" t="s">
        <v>42</v>
      </c>
      <c r="B7" s="14" t="n">
        <f aca="false">SUM('Control Matrix'!J5:J10)</f>
        <v>60</v>
      </c>
    </row>
    <row r="8" customFormat="false" ht="15" hidden="false" customHeight="false" outlineLevel="0" collapsed="false">
      <c r="A8" s="13" t="s">
        <v>43</v>
      </c>
      <c r="B8" s="14" t="n">
        <f aca="false">SUM('Control Matrix'!L5:L10)</f>
        <v>2</v>
      </c>
    </row>
    <row r="9" customFormat="false" ht="15" hidden="false" customHeight="false" outlineLevel="0" collapsed="false">
      <c r="A9" s="13" t="s">
        <v>44</v>
      </c>
      <c r="B9" s="15" t="n">
        <f aca="false">IF(B7=0,0,B8/B7)</f>
        <v>0.0333333333333333</v>
      </c>
    </row>
    <row r="11" customFormat="false" ht="15" hidden="false" customHeight="false" outlineLevel="0" collapsed="false">
      <c r="A11" s="6" t="s">
        <v>45</v>
      </c>
    </row>
    <row r="12" customFormat="false" ht="30" hidden="false" customHeight="true" outlineLevel="0" collapsed="false">
      <c r="A12" s="4"/>
      <c r="B12" s="5" t="s">
        <v>46</v>
      </c>
      <c r="C12" s="5"/>
      <c r="D12" s="5"/>
      <c r="E12" s="5"/>
      <c r="F12" s="5"/>
      <c r="G12" s="5"/>
      <c r="H12" s="5"/>
      <c r="I12" s="5"/>
    </row>
  </sheetData>
  <mergeCells count="1">
    <mergeCell ref="B12:I1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3" min="3" style="1" width="16"/>
    <col collapsed="false" customWidth="true" hidden="false" outlineLevel="0" max="4" min="4" style="1" width="44"/>
    <col collapsed="false" customWidth="true" hidden="false" outlineLevel="0" max="9" min="5" style="1" width="10"/>
  </cols>
  <sheetData>
    <row r="1" customFormat="false" ht="17.35" hidden="false" customHeight="false" outlineLevel="0" collapsed="false">
      <c r="A1" s="2" t="s">
        <v>47</v>
      </c>
    </row>
    <row r="3" customFormat="false" ht="30" hidden="false" customHeight="true" outlineLevel="0" collapsed="false">
      <c r="A3" s="4" t="s">
        <v>48</v>
      </c>
      <c r="B3" s="5" t="s">
        <v>49</v>
      </c>
      <c r="C3" s="5"/>
      <c r="D3" s="5"/>
      <c r="E3" s="5"/>
      <c r="F3" s="5"/>
      <c r="G3" s="5"/>
      <c r="H3" s="5"/>
      <c r="I3" s="5"/>
    </row>
    <row r="4" customFormat="false" ht="30" hidden="false" customHeight="true" outlineLevel="0" collapsed="false">
      <c r="A4" s="4" t="s">
        <v>50</v>
      </c>
      <c r="B4" s="5" t="s">
        <v>51</v>
      </c>
      <c r="C4" s="5"/>
      <c r="D4" s="5"/>
      <c r="E4" s="5"/>
      <c r="F4" s="5"/>
      <c r="G4" s="5"/>
      <c r="H4" s="5"/>
      <c r="I4" s="5"/>
    </row>
    <row r="5" customFormat="false" ht="30" hidden="false" customHeight="true" outlineLevel="0" collapsed="false">
      <c r="A5" s="4" t="s">
        <v>52</v>
      </c>
      <c r="B5" s="5" t="s">
        <v>53</v>
      </c>
      <c r="C5" s="5"/>
      <c r="D5" s="5"/>
      <c r="E5" s="5"/>
      <c r="F5" s="5"/>
      <c r="G5" s="5"/>
      <c r="H5" s="5"/>
      <c r="I5" s="5"/>
    </row>
    <row r="7" customFormat="false" ht="31.5" hidden="false" customHeight="true" outlineLevel="0" collapsed="false">
      <c r="A7" s="12" t="s">
        <v>54</v>
      </c>
      <c r="B7" s="12" t="s">
        <v>55</v>
      </c>
      <c r="C7" s="12" t="s">
        <v>56</v>
      </c>
      <c r="D7" s="12" t="s">
        <v>57</v>
      </c>
    </row>
    <row r="8" customFormat="false" ht="22.35" hidden="false" customHeight="false" outlineLevel="0" collapsed="false">
      <c r="A8" s="16" t="s">
        <v>58</v>
      </c>
      <c r="B8" s="16" t="s">
        <v>59</v>
      </c>
      <c r="C8" s="16" t="s">
        <v>60</v>
      </c>
      <c r="D8" s="16" t="s">
        <v>61</v>
      </c>
    </row>
    <row r="9" customFormat="false" ht="22.35" hidden="false" customHeight="false" outlineLevel="0" collapsed="false">
      <c r="A9" s="16" t="s">
        <v>62</v>
      </c>
      <c r="B9" s="16" t="s">
        <v>63</v>
      </c>
      <c r="C9" s="16" t="s">
        <v>60</v>
      </c>
      <c r="D9" s="16" t="s">
        <v>64</v>
      </c>
    </row>
    <row r="10" customFormat="false" ht="15" hidden="false" customHeight="false" outlineLevel="0" collapsed="false">
      <c r="A10" s="16" t="s">
        <v>65</v>
      </c>
      <c r="B10" s="16" t="s">
        <v>66</v>
      </c>
      <c r="C10" s="16" t="s">
        <v>60</v>
      </c>
      <c r="D10" s="16" t="s">
        <v>67</v>
      </c>
    </row>
    <row r="12" customFormat="false" ht="30" hidden="false" customHeight="true" outlineLevel="0" collapsed="false">
      <c r="A12" s="4" t="s">
        <v>68</v>
      </c>
      <c r="B12" s="5" t="s">
        <v>69</v>
      </c>
      <c r="C12" s="5"/>
      <c r="D12" s="5"/>
      <c r="E12" s="5"/>
      <c r="F12" s="5"/>
      <c r="G12" s="5"/>
      <c r="H12" s="5"/>
      <c r="I12" s="5"/>
    </row>
  </sheetData>
  <mergeCells count="4">
    <mergeCell ref="B3:I3"/>
    <mergeCell ref="B4:I4"/>
    <mergeCell ref="B5:I5"/>
    <mergeCell ref="B12:I1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24"/>
    <col collapsed="false" customWidth="true" hidden="false" outlineLevel="0" max="4" min="4" style="1" width="38"/>
    <col collapsed="false" customWidth="true" hidden="false" outlineLevel="0" max="5" min="5" style="1" width="16"/>
    <col collapsed="false" customWidth="true" hidden="false" outlineLevel="0" max="6" min="6" style="1" width="12"/>
    <col collapsed="false" customWidth="true" hidden="false" outlineLevel="0" max="7" min="7" style="1" width="11"/>
    <col collapsed="false" customWidth="true" hidden="false" outlineLevel="0" max="8" min="8" style="1" width="14"/>
    <col collapsed="false" customWidth="true" hidden="false" outlineLevel="0" max="9" min="9" style="1" width="10"/>
    <col collapsed="false" customWidth="true" hidden="false" outlineLevel="0" max="10" min="10" style="1" width="9"/>
    <col collapsed="false" customWidth="true" hidden="false" outlineLevel="0" max="11" min="11" style="1" width="34"/>
    <col collapsed="false" customWidth="true" hidden="false" outlineLevel="0" max="12" min="12" style="1" width="10"/>
    <col collapsed="false" customWidth="true" hidden="false" outlineLevel="0" max="13" min="13" style="1" width="14"/>
  </cols>
  <sheetData>
    <row r="1" customFormat="false" ht="17.35" hidden="false" customHeight="false" outlineLevel="0" collapsed="false">
      <c r="A1" s="2" t="s">
        <v>17</v>
      </c>
    </row>
    <row r="2" customFormat="false" ht="15" hidden="false" customHeight="false" outlineLevel="0" collapsed="false">
      <c r="A2" s="3" t="s">
        <v>70</v>
      </c>
    </row>
    <row r="4" customFormat="false" ht="31.5" hidden="false" customHeight="true" outlineLevel="0" collapsed="false">
      <c r="A4" s="12" t="s">
        <v>71</v>
      </c>
      <c r="B4" s="12" t="s">
        <v>72</v>
      </c>
      <c r="C4" s="12" t="s">
        <v>73</v>
      </c>
      <c r="D4" s="12" t="s">
        <v>74</v>
      </c>
      <c r="E4" s="12" t="s">
        <v>75</v>
      </c>
      <c r="F4" s="12" t="s">
        <v>76</v>
      </c>
      <c r="G4" s="12" t="s">
        <v>77</v>
      </c>
      <c r="H4" s="12" t="s">
        <v>78</v>
      </c>
      <c r="I4" s="12" t="s">
        <v>79</v>
      </c>
      <c r="J4" s="12" t="s">
        <v>80</v>
      </c>
      <c r="K4" s="12" t="s">
        <v>81</v>
      </c>
      <c r="L4" s="12" t="s">
        <v>23</v>
      </c>
      <c r="M4" s="12" t="s">
        <v>82</v>
      </c>
    </row>
    <row r="5" customFormat="false" ht="32.8" hidden="false" customHeight="false" outlineLevel="0" collapsed="false">
      <c r="A5" s="16" t="s">
        <v>83</v>
      </c>
      <c r="B5" s="16" t="s">
        <v>84</v>
      </c>
      <c r="C5" s="16" t="s">
        <v>85</v>
      </c>
      <c r="D5" s="16" t="s">
        <v>86</v>
      </c>
      <c r="E5" s="16" t="s">
        <v>87</v>
      </c>
      <c r="F5" s="16" t="s">
        <v>88</v>
      </c>
      <c r="G5" s="16" t="s">
        <v>89</v>
      </c>
      <c r="H5" s="16" t="s">
        <v>90</v>
      </c>
      <c r="I5" s="17" t="n">
        <v>18</v>
      </c>
      <c r="J5" s="18" t="n">
        <v>10</v>
      </c>
      <c r="K5" s="16" t="s">
        <v>91</v>
      </c>
      <c r="L5" s="14" t="n">
        <f aca="false">COUNTIF('AC-01 Leavers'!J9:J18,"Exception")</f>
        <v>1</v>
      </c>
      <c r="M5" s="19" t="str">
        <f aca="false">IF(L5=0,"Effective","Exception noted")</f>
        <v>Exception noted</v>
      </c>
    </row>
    <row r="6" customFormat="false" ht="32.8" hidden="false" customHeight="false" outlineLevel="0" collapsed="false">
      <c r="A6" s="16" t="s">
        <v>92</v>
      </c>
      <c r="B6" s="16" t="s">
        <v>84</v>
      </c>
      <c r="C6" s="16" t="s">
        <v>93</v>
      </c>
      <c r="D6" s="16" t="s">
        <v>94</v>
      </c>
      <c r="E6" s="16" t="s">
        <v>95</v>
      </c>
      <c r="F6" s="16" t="s">
        <v>96</v>
      </c>
      <c r="G6" s="16" t="s">
        <v>97</v>
      </c>
      <c r="H6" s="16" t="s">
        <v>90</v>
      </c>
      <c r="I6" s="17" t="n">
        <v>2</v>
      </c>
      <c r="J6" s="18" t="n">
        <v>2</v>
      </c>
      <c r="K6" s="16" t="s">
        <v>98</v>
      </c>
      <c r="L6" s="14" t="n">
        <f aca="false">COUNTIF('AC-02 Access Review'!K9:K10,"Exception")</f>
        <v>0</v>
      </c>
      <c r="M6" s="19" t="str">
        <f aca="false">IF(L6=0,"Effective","Exception noted")</f>
        <v>Effective</v>
      </c>
    </row>
    <row r="7" customFormat="false" ht="32.8" hidden="false" customHeight="false" outlineLevel="0" collapsed="false">
      <c r="A7" s="16" t="s">
        <v>99</v>
      </c>
      <c r="B7" s="16" t="s">
        <v>100</v>
      </c>
      <c r="C7" s="16" t="s">
        <v>101</v>
      </c>
      <c r="D7" s="16" t="s">
        <v>102</v>
      </c>
      <c r="E7" s="16" t="s">
        <v>103</v>
      </c>
      <c r="F7" s="16" t="s">
        <v>88</v>
      </c>
      <c r="G7" s="16" t="s">
        <v>89</v>
      </c>
      <c r="H7" s="16" t="s">
        <v>90</v>
      </c>
      <c r="I7" s="17" t="n">
        <v>60</v>
      </c>
      <c r="J7" s="18" t="n">
        <v>15</v>
      </c>
      <c r="K7" s="16" t="s">
        <v>104</v>
      </c>
      <c r="L7" s="14" t="n">
        <f aca="false">COUNTIF('CM-01 Changes'!I9:I23,"Exception")</f>
        <v>1</v>
      </c>
      <c r="M7" s="19" t="str">
        <f aca="false">IF(L7=0,"Effective","Exception noted")</f>
        <v>Exception noted</v>
      </c>
    </row>
    <row r="8" customFormat="false" ht="22.35" hidden="false" customHeight="false" outlineLevel="0" collapsed="false">
      <c r="A8" s="16" t="s">
        <v>105</v>
      </c>
      <c r="B8" s="16" t="s">
        <v>100</v>
      </c>
      <c r="C8" s="16" t="s">
        <v>106</v>
      </c>
      <c r="D8" s="16" t="s">
        <v>107</v>
      </c>
      <c r="E8" s="16" t="s">
        <v>108</v>
      </c>
      <c r="F8" s="16" t="s">
        <v>109</v>
      </c>
      <c r="G8" s="16" t="s">
        <v>89</v>
      </c>
      <c r="H8" s="16" t="s">
        <v>110</v>
      </c>
      <c r="I8" s="17" t="n">
        <v>6</v>
      </c>
      <c r="J8" s="18" t="n">
        <v>6</v>
      </c>
      <c r="K8" s="16" t="s">
        <v>111</v>
      </c>
      <c r="L8" s="14" t="n">
        <f aca="false">COUNTIF('CM-02 SoD'!F9:F14,"Exception")</f>
        <v>0</v>
      </c>
      <c r="M8" s="19" t="str">
        <f aca="false">IF(L8=0,"Effective","Exception noted")</f>
        <v>Effective</v>
      </c>
    </row>
    <row r="9" customFormat="false" ht="22.35" hidden="false" customHeight="false" outlineLevel="0" collapsed="false">
      <c r="A9" s="16" t="s">
        <v>112</v>
      </c>
      <c r="B9" s="16" t="s">
        <v>113</v>
      </c>
      <c r="C9" s="16" t="s">
        <v>114</v>
      </c>
      <c r="D9" s="16" t="s">
        <v>115</v>
      </c>
      <c r="E9" s="16" t="s">
        <v>116</v>
      </c>
      <c r="F9" s="16" t="s">
        <v>117</v>
      </c>
      <c r="G9" s="16" t="s">
        <v>97</v>
      </c>
      <c r="H9" s="16" t="s">
        <v>118</v>
      </c>
      <c r="I9" s="17" t="n">
        <v>181</v>
      </c>
      <c r="J9" s="18" t="n">
        <v>25</v>
      </c>
      <c r="K9" s="16" t="s">
        <v>119</v>
      </c>
      <c r="L9" s="14" t="n">
        <f aca="false">COUNTIF('OP-01 Backups'!F9:F33,"Exception")</f>
        <v>0</v>
      </c>
      <c r="M9" s="19" t="str">
        <f aca="false">IF(L9=0,"Effective","Exception noted")</f>
        <v>Effective</v>
      </c>
    </row>
    <row r="10" customFormat="false" ht="22.35" hidden="false" customHeight="false" outlineLevel="0" collapsed="false">
      <c r="A10" s="16" t="s">
        <v>120</v>
      </c>
      <c r="B10" s="16" t="s">
        <v>113</v>
      </c>
      <c r="C10" s="16" t="s">
        <v>121</v>
      </c>
      <c r="D10" s="16" t="s">
        <v>122</v>
      </c>
      <c r="E10" s="16" t="s">
        <v>116</v>
      </c>
      <c r="F10" s="16" t="s">
        <v>96</v>
      </c>
      <c r="G10" s="16" t="s">
        <v>97</v>
      </c>
      <c r="H10" s="16" t="s">
        <v>90</v>
      </c>
      <c r="I10" s="17" t="n">
        <v>2</v>
      </c>
      <c r="J10" s="18" t="n">
        <v>2</v>
      </c>
      <c r="K10" s="16" t="s">
        <v>123</v>
      </c>
      <c r="L10" s="14" t="n">
        <f aca="false">COUNTIF('OP-02 Restore Tests'!I9:I10,"Exception")</f>
        <v>0</v>
      </c>
      <c r="M10" s="19" t="str">
        <f aca="false">IF(L10=0,"Effective","Exception noted")</f>
        <v>Effective</v>
      </c>
    </row>
  </sheetData>
  <conditionalFormatting sqref="M5:M10">
    <cfRule type="cellIs" priority="2" operator="equal" aboveAverage="0" equalAverage="0" bottom="0" percent="0" rank="0" text="" dxfId="0">
      <formula>"Pass"</formula>
    </cfRule>
    <cfRule type="cellIs" priority="3" operator="equal" aboveAverage="0" equalAverage="0" bottom="0" percent="0" rank="0" text="" dxfId="1">
      <formula>"Exception"</formula>
    </cfRule>
    <cfRule type="cellIs" priority="4" operator="equal" aboveAverage="0" equalAverage="0" bottom="0" percent="0" rank="0" text="" dxfId="0">
      <formula>"Effective"</formula>
    </cfRule>
    <cfRule type="cellIs" priority="5" operator="equal" aboveAverage="0" equalAverage="0" bottom="0" percent="0" rank="0" text="" dxfId="1">
      <formula>"Exception noted"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60"/>
    <col collapsed="false" customWidth="true" hidden="false" outlineLevel="0" max="9" min="4" style="1" width="10"/>
  </cols>
  <sheetData>
    <row r="1" customFormat="false" ht="17.35" hidden="false" customHeight="false" outlineLevel="0" collapsed="false">
      <c r="A1" s="2" t="s">
        <v>19</v>
      </c>
    </row>
    <row r="2" customFormat="false" ht="15" hidden="false" customHeight="false" outlineLevel="0" collapsed="false">
      <c r="A2" s="3" t="s">
        <v>124</v>
      </c>
    </row>
    <row r="4" customFormat="false" ht="31.5" hidden="false" customHeight="true" outlineLevel="0" collapsed="false">
      <c r="A4" s="12" t="s">
        <v>125</v>
      </c>
      <c r="B4" s="12" t="s">
        <v>126</v>
      </c>
      <c r="C4" s="12" t="s">
        <v>127</v>
      </c>
    </row>
    <row r="5" customFormat="false" ht="15" hidden="false" customHeight="false" outlineLevel="0" collapsed="false">
      <c r="A5" s="16" t="s">
        <v>128</v>
      </c>
      <c r="B5" s="16" t="s">
        <v>129</v>
      </c>
      <c r="C5" s="16" t="s">
        <v>130</v>
      </c>
    </row>
    <row r="6" customFormat="false" ht="15" hidden="false" customHeight="false" outlineLevel="0" collapsed="false">
      <c r="A6" s="16" t="s">
        <v>96</v>
      </c>
      <c r="B6" s="16" t="s">
        <v>131</v>
      </c>
      <c r="C6" s="16" t="s">
        <v>132</v>
      </c>
    </row>
    <row r="7" customFormat="false" ht="15" hidden="false" customHeight="false" outlineLevel="0" collapsed="false">
      <c r="A7" s="16" t="s">
        <v>133</v>
      </c>
      <c r="B7" s="16" t="s">
        <v>134</v>
      </c>
      <c r="C7" s="16" t="s">
        <v>130</v>
      </c>
    </row>
    <row r="8" customFormat="false" ht="15" hidden="false" customHeight="false" outlineLevel="0" collapsed="false">
      <c r="A8" s="16" t="s">
        <v>135</v>
      </c>
      <c r="B8" s="16" t="s">
        <v>136</v>
      </c>
      <c r="C8" s="16" t="s">
        <v>130</v>
      </c>
    </row>
    <row r="9" customFormat="false" ht="15" hidden="false" customHeight="false" outlineLevel="0" collapsed="false">
      <c r="A9" s="16" t="s">
        <v>117</v>
      </c>
      <c r="B9" s="16" t="s">
        <v>137</v>
      </c>
      <c r="C9" s="16" t="s">
        <v>138</v>
      </c>
    </row>
    <row r="10" customFormat="false" ht="22.35" hidden="false" customHeight="false" outlineLevel="0" collapsed="false">
      <c r="A10" s="16" t="s">
        <v>139</v>
      </c>
      <c r="B10" s="16" t="s">
        <v>140</v>
      </c>
      <c r="C10" s="16" t="s">
        <v>141</v>
      </c>
    </row>
    <row r="11" customFormat="false" ht="22.35" hidden="false" customHeight="false" outlineLevel="0" collapsed="false">
      <c r="A11" s="16" t="s">
        <v>142</v>
      </c>
      <c r="B11" s="16" t="s">
        <v>143</v>
      </c>
      <c r="C11" s="16" t="s">
        <v>144</v>
      </c>
    </row>
    <row r="13" customFormat="false" ht="30" hidden="false" customHeight="true" outlineLevel="0" collapsed="false">
      <c r="A13" s="4" t="s">
        <v>145</v>
      </c>
      <c r="B13" s="5" t="s">
        <v>146</v>
      </c>
      <c r="C13" s="5"/>
      <c r="D13" s="5"/>
      <c r="E13" s="5"/>
      <c r="F13" s="5"/>
      <c r="G13" s="5"/>
      <c r="H13" s="5"/>
      <c r="I13" s="5"/>
    </row>
  </sheetData>
  <mergeCells count="1">
    <mergeCell ref="B13:I1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18"/>
    <col collapsed="false" customWidth="true" hidden="false" outlineLevel="0" max="4" min="4" style="1" width="13"/>
    <col collapsed="false" customWidth="true" hidden="false" outlineLevel="0" max="6" min="5" style="1" width="14"/>
    <col collapsed="false" customWidth="true" hidden="false" outlineLevel="0" max="7" min="7" style="1" width="13"/>
    <col collapsed="false" customWidth="true" hidden="false" outlineLevel="0" max="9" min="8" style="1" width="12"/>
    <col collapsed="false" customWidth="true" hidden="false" outlineLevel="0" max="10" min="10" style="1" width="11"/>
  </cols>
  <sheetData>
    <row r="1" customFormat="false" ht="17.35" hidden="false" customHeight="false" outlineLevel="0" collapsed="false">
      <c r="A1" s="2" t="s">
        <v>147</v>
      </c>
    </row>
    <row r="3" customFormat="false" ht="30" hidden="false" customHeight="true" outlineLevel="0" collapsed="false">
      <c r="A3" s="4" t="s">
        <v>148</v>
      </c>
      <c r="B3" s="5" t="s">
        <v>149</v>
      </c>
      <c r="C3" s="5"/>
      <c r="D3" s="5"/>
      <c r="E3" s="5"/>
      <c r="F3" s="5"/>
      <c r="G3" s="5"/>
      <c r="H3" s="5"/>
      <c r="I3" s="5"/>
    </row>
    <row r="4" customFormat="false" ht="30" hidden="false" customHeight="true" outlineLevel="0" collapsed="false">
      <c r="A4" s="4" t="s">
        <v>79</v>
      </c>
      <c r="B4" s="5" t="s">
        <v>150</v>
      </c>
      <c r="C4" s="5"/>
      <c r="D4" s="5"/>
      <c r="E4" s="5"/>
      <c r="F4" s="5"/>
      <c r="G4" s="5"/>
      <c r="H4" s="5"/>
      <c r="I4" s="5"/>
    </row>
    <row r="5" customFormat="false" ht="15.75" hidden="false" customHeight="true" outlineLevel="0" collapsed="false">
      <c r="A5" s="4" t="s">
        <v>151</v>
      </c>
      <c r="B5" s="5" t="s">
        <v>152</v>
      </c>
      <c r="C5" s="5"/>
      <c r="D5" s="5"/>
      <c r="E5" s="5"/>
      <c r="F5" s="5"/>
      <c r="G5" s="5"/>
      <c r="H5" s="5"/>
      <c r="I5" s="5"/>
    </row>
    <row r="6" customFormat="false" ht="30" hidden="false" customHeight="true" outlineLevel="0" collapsed="false">
      <c r="A6" s="4" t="s">
        <v>153</v>
      </c>
      <c r="B6" s="5" t="s">
        <v>154</v>
      </c>
      <c r="C6" s="5"/>
      <c r="D6" s="5"/>
      <c r="E6" s="5"/>
      <c r="F6" s="5"/>
      <c r="G6" s="5"/>
      <c r="H6" s="5"/>
      <c r="I6" s="5"/>
    </row>
    <row r="8" customFormat="false" ht="31.5" hidden="false" customHeight="true" outlineLevel="0" collapsed="false">
      <c r="A8" s="12" t="s">
        <v>155</v>
      </c>
      <c r="B8" s="12" t="s">
        <v>156</v>
      </c>
      <c r="C8" s="12" t="s">
        <v>157</v>
      </c>
      <c r="D8" s="12" t="s">
        <v>158</v>
      </c>
      <c r="E8" s="12" t="s">
        <v>159</v>
      </c>
      <c r="F8" s="12" t="s">
        <v>160</v>
      </c>
      <c r="G8" s="12" t="s">
        <v>161</v>
      </c>
      <c r="H8" s="12" t="s">
        <v>162</v>
      </c>
      <c r="I8" s="12" t="s">
        <v>163</v>
      </c>
      <c r="J8" s="12" t="s">
        <v>39</v>
      </c>
    </row>
    <row r="9" customFormat="false" ht="15" hidden="false" customHeight="false" outlineLevel="0" collapsed="false">
      <c r="A9" s="16" t="n">
        <v>1</v>
      </c>
      <c r="B9" s="16" t="s">
        <v>164</v>
      </c>
      <c r="C9" s="16" t="s">
        <v>165</v>
      </c>
      <c r="D9" s="20" t="n">
        <v>46038</v>
      </c>
      <c r="E9" s="20" t="n">
        <v>46038</v>
      </c>
      <c r="F9" s="20" t="s">
        <v>166</v>
      </c>
      <c r="G9" s="21" t="n">
        <f aca="false">MAX(E9:F9)</f>
        <v>46038</v>
      </c>
      <c r="H9" s="14" t="n">
        <f aca="false">NETWORKDAYS(D9,G9)-1</f>
        <v>0</v>
      </c>
      <c r="I9" s="16" t="n">
        <v>0</v>
      </c>
      <c r="J9" s="19" t="str">
        <f aca="false">IF(H9&lt;=1,"Pass","Exception")</f>
        <v>Pass</v>
      </c>
    </row>
    <row r="10" customFormat="false" ht="15" hidden="false" customHeight="false" outlineLevel="0" collapsed="false">
      <c r="A10" s="16" t="n">
        <v>2</v>
      </c>
      <c r="B10" s="16" t="s">
        <v>167</v>
      </c>
      <c r="C10" s="16" t="s">
        <v>168</v>
      </c>
      <c r="D10" s="20" t="n">
        <v>46052</v>
      </c>
      <c r="E10" s="20" t="n">
        <v>46052</v>
      </c>
      <c r="F10" s="20" t="n">
        <v>46052</v>
      </c>
      <c r="G10" s="21" t="n">
        <f aca="false">MAX(E10:F10)</f>
        <v>46052</v>
      </c>
      <c r="H10" s="14" t="n">
        <f aca="false">NETWORKDAYS(D10,G10)-1</f>
        <v>0</v>
      </c>
      <c r="I10" s="16" t="n">
        <v>0</v>
      </c>
      <c r="J10" s="19" t="str">
        <f aca="false">IF(H10&lt;=1,"Pass","Exception")</f>
        <v>Pass</v>
      </c>
    </row>
    <row r="11" customFormat="false" ht="15" hidden="false" customHeight="false" outlineLevel="0" collapsed="false">
      <c r="A11" s="16" t="n">
        <v>3</v>
      </c>
      <c r="B11" s="16" t="s">
        <v>169</v>
      </c>
      <c r="C11" s="16" t="s">
        <v>170</v>
      </c>
      <c r="D11" s="20" t="n">
        <v>46066</v>
      </c>
      <c r="E11" s="20" t="n">
        <v>46069</v>
      </c>
      <c r="F11" s="20" t="s">
        <v>166</v>
      </c>
      <c r="G11" s="21" t="n">
        <f aca="false">MAX(E11:F11)</f>
        <v>46069</v>
      </c>
      <c r="H11" s="14" t="n">
        <f aca="false">NETWORKDAYS(D11,G11)-1</f>
        <v>1</v>
      </c>
      <c r="I11" s="16" t="n">
        <v>0</v>
      </c>
      <c r="J11" s="19" t="str">
        <f aca="false">IF(H11&lt;=1,"Pass","Exception")</f>
        <v>Pass</v>
      </c>
    </row>
    <row r="12" customFormat="false" ht="15" hidden="false" customHeight="false" outlineLevel="0" collapsed="false">
      <c r="A12" s="16" t="n">
        <v>4</v>
      </c>
      <c r="B12" s="16" t="s">
        <v>171</v>
      </c>
      <c r="C12" s="16" t="s">
        <v>168</v>
      </c>
      <c r="D12" s="20" t="n">
        <v>46080</v>
      </c>
      <c r="E12" s="20" t="n">
        <v>46080</v>
      </c>
      <c r="F12" s="20" t="n">
        <v>46083</v>
      </c>
      <c r="G12" s="21" t="n">
        <f aca="false">MAX(E12:F12)</f>
        <v>46083</v>
      </c>
      <c r="H12" s="14" t="n">
        <f aca="false">NETWORKDAYS(D12,G12)-1</f>
        <v>1</v>
      </c>
      <c r="I12" s="16" t="n">
        <v>0</v>
      </c>
      <c r="J12" s="19" t="str">
        <f aca="false">IF(H12&lt;=1,"Pass","Exception")</f>
        <v>Pass</v>
      </c>
    </row>
    <row r="13" customFormat="false" ht="15" hidden="false" customHeight="false" outlineLevel="0" collapsed="false">
      <c r="A13" s="16" t="n">
        <v>5</v>
      </c>
      <c r="B13" s="16" t="s">
        <v>172</v>
      </c>
      <c r="C13" s="16" t="s">
        <v>173</v>
      </c>
      <c r="D13" s="20" t="n">
        <v>46094</v>
      </c>
      <c r="E13" s="20" t="n">
        <v>46106</v>
      </c>
      <c r="F13" s="20" t="s">
        <v>166</v>
      </c>
      <c r="G13" s="21" t="n">
        <f aca="false">MAX(E13:F13)</f>
        <v>46106</v>
      </c>
      <c r="H13" s="14" t="n">
        <f aca="false">NETWORKDAYS(D13,G13)-1</f>
        <v>8</v>
      </c>
      <c r="I13" s="16" t="n">
        <v>0</v>
      </c>
      <c r="J13" s="19" t="str">
        <f aca="false">IF(H13&lt;=1,"Pass","Exception")</f>
        <v>Exception</v>
      </c>
    </row>
    <row r="14" customFormat="false" ht="15" hidden="false" customHeight="false" outlineLevel="0" collapsed="false">
      <c r="A14" s="16" t="n">
        <v>6</v>
      </c>
      <c r="B14" s="16" t="s">
        <v>174</v>
      </c>
      <c r="C14" s="16" t="s">
        <v>175</v>
      </c>
      <c r="D14" s="20" t="n">
        <v>46112</v>
      </c>
      <c r="E14" s="20" t="n">
        <v>46112</v>
      </c>
      <c r="F14" s="20" t="s">
        <v>166</v>
      </c>
      <c r="G14" s="21" t="n">
        <f aca="false">MAX(E14:F14)</f>
        <v>46112</v>
      </c>
      <c r="H14" s="14" t="n">
        <f aca="false">NETWORKDAYS(D14,G14)-1</f>
        <v>0</v>
      </c>
      <c r="I14" s="16" t="n">
        <v>0</v>
      </c>
      <c r="J14" s="19" t="str">
        <f aca="false">IF(H14&lt;=1,"Pass","Exception")</f>
        <v>Pass</v>
      </c>
    </row>
    <row r="15" customFormat="false" ht="15" hidden="false" customHeight="false" outlineLevel="0" collapsed="false">
      <c r="A15" s="16" t="n">
        <v>7</v>
      </c>
      <c r="B15" s="16" t="s">
        <v>176</v>
      </c>
      <c r="C15" s="16" t="s">
        <v>170</v>
      </c>
      <c r="D15" s="20" t="n">
        <v>46129</v>
      </c>
      <c r="E15" s="20" t="n">
        <v>46129</v>
      </c>
      <c r="F15" s="20" t="s">
        <v>166</v>
      </c>
      <c r="G15" s="21" t="n">
        <f aca="false">MAX(E15:F15)</f>
        <v>46129</v>
      </c>
      <c r="H15" s="14" t="n">
        <f aca="false">NETWORKDAYS(D15,G15)-1</f>
        <v>0</v>
      </c>
      <c r="I15" s="16" t="n">
        <v>0</v>
      </c>
      <c r="J15" s="19" t="str">
        <f aca="false">IF(H15&lt;=1,"Pass","Exception")</f>
        <v>Pass</v>
      </c>
    </row>
    <row r="16" customFormat="false" ht="15" hidden="false" customHeight="false" outlineLevel="0" collapsed="false">
      <c r="A16" s="16" t="n">
        <v>8</v>
      </c>
      <c r="B16" s="16" t="s">
        <v>177</v>
      </c>
      <c r="C16" s="16" t="s">
        <v>168</v>
      </c>
      <c r="D16" s="20" t="n">
        <v>46157</v>
      </c>
      <c r="E16" s="20" t="n">
        <v>46157</v>
      </c>
      <c r="F16" s="20" t="n">
        <v>46157</v>
      </c>
      <c r="G16" s="21" t="n">
        <f aca="false">MAX(E16:F16)</f>
        <v>46157</v>
      </c>
      <c r="H16" s="14" t="n">
        <f aca="false">NETWORKDAYS(D16,G16)-1</f>
        <v>0</v>
      </c>
      <c r="I16" s="16" t="n">
        <v>0</v>
      </c>
      <c r="J16" s="19" t="str">
        <f aca="false">IF(H16&lt;=1,"Pass","Exception")</f>
        <v>Pass</v>
      </c>
    </row>
    <row r="17" customFormat="false" ht="15" hidden="false" customHeight="false" outlineLevel="0" collapsed="false">
      <c r="A17" s="16" t="n">
        <v>9</v>
      </c>
      <c r="B17" s="16" t="s">
        <v>178</v>
      </c>
      <c r="C17" s="16" t="s">
        <v>165</v>
      </c>
      <c r="D17" s="20" t="n">
        <v>46171</v>
      </c>
      <c r="E17" s="20" t="n">
        <v>46174</v>
      </c>
      <c r="F17" s="20" t="s">
        <v>166</v>
      </c>
      <c r="G17" s="21" t="n">
        <f aca="false">MAX(E17:F17)</f>
        <v>46174</v>
      </c>
      <c r="H17" s="14" t="n">
        <f aca="false">NETWORKDAYS(D17,G17)-1</f>
        <v>1</v>
      </c>
      <c r="I17" s="16" t="n">
        <v>0</v>
      </c>
      <c r="J17" s="19" t="str">
        <f aca="false">IF(H17&lt;=1,"Pass","Exception")</f>
        <v>Pass</v>
      </c>
    </row>
    <row r="18" customFormat="false" ht="15" hidden="false" customHeight="false" outlineLevel="0" collapsed="false">
      <c r="A18" s="16" t="n">
        <v>10</v>
      </c>
      <c r="B18" s="16" t="s">
        <v>179</v>
      </c>
      <c r="C18" s="16" t="s">
        <v>180</v>
      </c>
      <c r="D18" s="20" t="n">
        <v>46199</v>
      </c>
      <c r="E18" s="20" t="n">
        <v>46199</v>
      </c>
      <c r="F18" s="20" t="s">
        <v>166</v>
      </c>
      <c r="G18" s="21" t="n">
        <f aca="false">MAX(E18:F18)</f>
        <v>46199</v>
      </c>
      <c r="H18" s="14" t="n">
        <f aca="false">NETWORKDAYS(D18,G18)-1</f>
        <v>0</v>
      </c>
      <c r="I18" s="16" t="n">
        <v>0</v>
      </c>
      <c r="J18" s="19" t="str">
        <f aca="false">IF(H18&lt;=1,"Pass","Exception")</f>
        <v>Pass</v>
      </c>
    </row>
    <row r="20" customFormat="false" ht="15" hidden="false" customHeight="false" outlineLevel="0" collapsed="false">
      <c r="A20" s="22" t="s">
        <v>181</v>
      </c>
    </row>
  </sheetData>
  <mergeCells count="4">
    <mergeCell ref="B3:I3"/>
    <mergeCell ref="B4:I4"/>
    <mergeCell ref="B5:I5"/>
    <mergeCell ref="B6:I6"/>
  </mergeCells>
  <conditionalFormatting sqref="J9:J18">
    <cfRule type="cellIs" priority="2" operator="equal" aboveAverage="0" equalAverage="0" bottom="0" percent="0" rank="0" text="" dxfId="0">
      <formula>"Pass"</formula>
    </cfRule>
    <cfRule type="cellIs" priority="3" operator="equal" aboveAverage="0" equalAverage="0" bottom="0" percent="0" rank="0" text="" dxfId="1">
      <formula>"Exception"</formula>
    </cfRule>
    <cfRule type="cellIs" priority="4" operator="equal" aboveAverage="0" equalAverage="0" bottom="0" percent="0" rank="0" text="" dxfId="0">
      <formula>"Effective"</formula>
    </cfRule>
    <cfRule type="cellIs" priority="5" operator="equal" aboveAverage="0" equalAverage="0" bottom="0" percent="0" rank="0" text="" dxfId="1">
      <formula>"Exception noted"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12"/>
    <col collapsed="false" customWidth="true" hidden="false" outlineLevel="0" max="4" min="4" style="1" width="22"/>
    <col collapsed="false" customWidth="true" hidden="false" outlineLevel="0" max="6" min="5" style="1" width="11"/>
    <col collapsed="false" customWidth="true" hidden="false" outlineLevel="0" max="7" min="7" style="1" width="10"/>
    <col collapsed="false" customWidth="true" hidden="false" outlineLevel="0" max="8" min="8" style="1" width="13"/>
    <col collapsed="false" customWidth="true" hidden="false" outlineLevel="0" max="9" min="9" style="1" width="9"/>
    <col collapsed="false" customWidth="true" hidden="false" outlineLevel="0" max="10" min="10" style="1" width="12"/>
    <col collapsed="false" customWidth="true" hidden="false" outlineLevel="0" max="11" min="11" style="1" width="11"/>
  </cols>
  <sheetData>
    <row r="1" customFormat="false" ht="17.35" hidden="false" customHeight="false" outlineLevel="0" collapsed="false">
      <c r="A1" s="2" t="s">
        <v>182</v>
      </c>
    </row>
    <row r="3" customFormat="false" ht="30" hidden="false" customHeight="true" outlineLevel="0" collapsed="false">
      <c r="A3" s="4" t="s">
        <v>148</v>
      </c>
      <c r="B3" s="5" t="s">
        <v>183</v>
      </c>
      <c r="C3" s="5"/>
      <c r="D3" s="5"/>
      <c r="E3" s="5"/>
      <c r="F3" s="5"/>
      <c r="G3" s="5"/>
      <c r="H3" s="5"/>
      <c r="I3" s="5"/>
    </row>
    <row r="4" customFormat="false" ht="15.75" hidden="false" customHeight="true" outlineLevel="0" collapsed="false">
      <c r="A4" s="4" t="s">
        <v>79</v>
      </c>
      <c r="B4" s="5" t="s">
        <v>184</v>
      </c>
      <c r="C4" s="5"/>
      <c r="D4" s="5"/>
      <c r="E4" s="5"/>
      <c r="F4" s="5"/>
      <c r="G4" s="5"/>
      <c r="H4" s="5"/>
      <c r="I4" s="5"/>
    </row>
    <row r="5" customFormat="false" ht="15.75" hidden="false" customHeight="true" outlineLevel="0" collapsed="false">
      <c r="A5" s="4" t="s">
        <v>151</v>
      </c>
      <c r="B5" s="5" t="s">
        <v>185</v>
      </c>
      <c r="C5" s="5"/>
      <c r="D5" s="5"/>
      <c r="E5" s="5"/>
      <c r="F5" s="5"/>
      <c r="G5" s="5"/>
      <c r="H5" s="5"/>
      <c r="I5" s="5"/>
    </row>
    <row r="6" customFormat="false" ht="30" hidden="false" customHeight="true" outlineLevel="0" collapsed="false">
      <c r="A6" s="4" t="s">
        <v>153</v>
      </c>
      <c r="B6" s="5" t="s">
        <v>186</v>
      </c>
      <c r="C6" s="5"/>
      <c r="D6" s="5"/>
      <c r="E6" s="5"/>
      <c r="F6" s="5"/>
      <c r="G6" s="5"/>
      <c r="H6" s="5"/>
      <c r="I6" s="5"/>
    </row>
    <row r="8" customFormat="false" ht="31.5" hidden="false" customHeight="true" outlineLevel="0" collapsed="false">
      <c r="A8" s="12" t="s">
        <v>187</v>
      </c>
      <c r="B8" s="12" t="s">
        <v>188</v>
      </c>
      <c r="C8" s="12" t="s">
        <v>189</v>
      </c>
      <c r="D8" s="12" t="s">
        <v>190</v>
      </c>
      <c r="E8" s="12" t="s">
        <v>191</v>
      </c>
      <c r="F8" s="12" t="s">
        <v>192</v>
      </c>
      <c r="G8" s="12" t="s">
        <v>193</v>
      </c>
      <c r="H8" s="12" t="s">
        <v>194</v>
      </c>
      <c r="I8" s="12" t="s">
        <v>195</v>
      </c>
      <c r="J8" s="12" t="s">
        <v>162</v>
      </c>
      <c r="K8" s="12" t="s">
        <v>39</v>
      </c>
    </row>
    <row r="9" customFormat="false" ht="22.35" hidden="false" customHeight="false" outlineLevel="0" collapsed="false">
      <c r="A9" s="16" t="s">
        <v>196</v>
      </c>
      <c r="B9" s="20" t="n">
        <v>46127</v>
      </c>
      <c r="C9" s="20" t="n">
        <v>46121</v>
      </c>
      <c r="D9" s="16" t="s">
        <v>197</v>
      </c>
      <c r="E9" s="16" t="s">
        <v>198</v>
      </c>
      <c r="F9" s="16" t="n">
        <v>214</v>
      </c>
      <c r="G9" s="16" t="n">
        <v>3</v>
      </c>
      <c r="H9" s="20" t="n">
        <v>46126</v>
      </c>
      <c r="I9" s="19" t="str">
        <f aca="false">IF(C9&lt;=B9,"Yes","No")</f>
        <v>Yes</v>
      </c>
      <c r="J9" s="14" t="n">
        <f aca="false">NETWORKDAYS(C9,H9)-1</f>
        <v>3</v>
      </c>
      <c r="K9" s="19" t="str">
        <f aca="false">IF(AND(I9="Yes",E9="Yes",J9&lt;=5),"Pass","Exception")</f>
        <v>Pass</v>
      </c>
    </row>
    <row r="10" customFormat="false" ht="22.35" hidden="false" customHeight="false" outlineLevel="0" collapsed="false">
      <c r="A10" s="16" t="s">
        <v>199</v>
      </c>
      <c r="B10" s="20" t="n">
        <v>46218</v>
      </c>
      <c r="C10" s="20" t="n">
        <v>46211</v>
      </c>
      <c r="D10" s="16" t="s">
        <v>197</v>
      </c>
      <c r="E10" s="16" t="s">
        <v>198</v>
      </c>
      <c r="F10" s="16" t="n">
        <v>221</v>
      </c>
      <c r="G10" s="16" t="n">
        <v>2</v>
      </c>
      <c r="H10" s="20" t="n">
        <v>46213</v>
      </c>
      <c r="I10" s="19" t="str">
        <f aca="false">IF(C10&lt;=B10,"Yes","No")</f>
        <v>Yes</v>
      </c>
      <c r="J10" s="14" t="n">
        <f aca="false">NETWORKDAYS(C10,H10)-1</f>
        <v>2</v>
      </c>
      <c r="K10" s="19" t="str">
        <f aca="false">IF(AND(I10="Yes",E10="Yes",J10&lt;=5),"Pass","Exception")</f>
        <v>Pass</v>
      </c>
    </row>
  </sheetData>
  <mergeCells count="4">
    <mergeCell ref="B3:I3"/>
    <mergeCell ref="B4:I4"/>
    <mergeCell ref="B5:I5"/>
    <mergeCell ref="B6:I6"/>
  </mergeCells>
  <conditionalFormatting sqref="K9:K10">
    <cfRule type="cellIs" priority="2" operator="equal" aboveAverage="0" equalAverage="0" bottom="0" percent="0" rank="0" text="" dxfId="0">
      <formula>"Pass"</formula>
    </cfRule>
    <cfRule type="cellIs" priority="3" operator="equal" aboveAverage="0" equalAverage="0" bottom="0" percent="0" rank="0" text="" dxfId="1">
      <formula>"Exception"</formula>
    </cfRule>
    <cfRule type="cellIs" priority="4" operator="equal" aboveAverage="0" equalAverage="0" bottom="0" percent="0" rank="0" text="" dxfId="0">
      <formula>"Effective"</formula>
    </cfRule>
    <cfRule type="cellIs" priority="5" operator="equal" aboveAverage="0" equalAverage="0" bottom="0" percent="0" rank="0" text="" dxfId="1">
      <formula>"Exception noted"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11"/>
    <col collapsed="false" customWidth="true" hidden="false" outlineLevel="0" max="4" min="4" style="1" width="10"/>
    <col collapsed="false" customWidth="true" hidden="false" outlineLevel="0" max="6" min="5" style="1" width="12"/>
    <col collapsed="false" customWidth="true" hidden="false" outlineLevel="0" max="8" min="7" style="1" width="13"/>
    <col collapsed="false" customWidth="true" hidden="false" outlineLevel="0" max="9" min="9" style="1" width="11"/>
  </cols>
  <sheetData>
    <row r="1" customFormat="false" ht="17.35" hidden="false" customHeight="false" outlineLevel="0" collapsed="false">
      <c r="A1" s="2" t="s">
        <v>200</v>
      </c>
    </row>
    <row r="3" customFormat="false" ht="30" hidden="false" customHeight="true" outlineLevel="0" collapsed="false">
      <c r="A3" s="4" t="s">
        <v>148</v>
      </c>
      <c r="B3" s="5" t="s">
        <v>201</v>
      </c>
      <c r="C3" s="5"/>
      <c r="D3" s="5"/>
      <c r="E3" s="5"/>
      <c r="F3" s="5"/>
      <c r="G3" s="5"/>
      <c r="H3" s="5"/>
      <c r="I3" s="5"/>
    </row>
    <row r="4" customFormat="false" ht="30" hidden="false" customHeight="true" outlineLevel="0" collapsed="false">
      <c r="A4" s="4" t="s">
        <v>79</v>
      </c>
      <c r="B4" s="5" t="s">
        <v>202</v>
      </c>
      <c r="C4" s="5"/>
      <c r="D4" s="5"/>
      <c r="E4" s="5"/>
      <c r="F4" s="5"/>
      <c r="G4" s="5"/>
      <c r="H4" s="5"/>
      <c r="I4" s="5"/>
    </row>
    <row r="5" customFormat="false" ht="15.75" hidden="false" customHeight="true" outlineLevel="0" collapsed="false">
      <c r="A5" s="4" t="s">
        <v>151</v>
      </c>
      <c r="B5" s="5" t="s">
        <v>203</v>
      </c>
      <c r="C5" s="5"/>
      <c r="D5" s="5"/>
      <c r="E5" s="5"/>
      <c r="F5" s="5"/>
      <c r="G5" s="5"/>
      <c r="H5" s="5"/>
      <c r="I5" s="5"/>
    </row>
    <row r="6" customFormat="false" ht="30" hidden="false" customHeight="true" outlineLevel="0" collapsed="false">
      <c r="A6" s="4" t="s">
        <v>153</v>
      </c>
      <c r="B6" s="5" t="s">
        <v>204</v>
      </c>
      <c r="C6" s="5"/>
      <c r="D6" s="5"/>
      <c r="E6" s="5"/>
      <c r="F6" s="5"/>
      <c r="G6" s="5"/>
      <c r="H6" s="5"/>
      <c r="I6" s="5"/>
    </row>
    <row r="8" customFormat="false" ht="31.5" hidden="false" customHeight="true" outlineLevel="0" collapsed="false">
      <c r="A8" s="12" t="s">
        <v>205</v>
      </c>
      <c r="B8" s="12" t="s">
        <v>206</v>
      </c>
      <c r="C8" s="12" t="s">
        <v>77</v>
      </c>
      <c r="D8" s="12" t="s">
        <v>207</v>
      </c>
      <c r="E8" s="12" t="s">
        <v>208</v>
      </c>
      <c r="F8" s="12" t="s">
        <v>209</v>
      </c>
      <c r="G8" s="12" t="s">
        <v>210</v>
      </c>
      <c r="H8" s="12" t="s">
        <v>211</v>
      </c>
      <c r="I8" s="12" t="s">
        <v>39</v>
      </c>
    </row>
    <row r="9" customFormat="false" ht="15" hidden="false" customHeight="false" outlineLevel="0" collapsed="false">
      <c r="A9" s="16" t="s">
        <v>212</v>
      </c>
      <c r="B9" s="16" t="s">
        <v>213</v>
      </c>
      <c r="C9" s="16" t="s">
        <v>214</v>
      </c>
      <c r="D9" s="16" t="s">
        <v>198</v>
      </c>
      <c r="E9" s="20" t="n">
        <v>46029</v>
      </c>
      <c r="F9" s="20" t="n">
        <v>46030</v>
      </c>
      <c r="G9" s="16" t="s">
        <v>215</v>
      </c>
      <c r="H9" s="19" t="str">
        <f aca="false">IF(E9&lt;=F9,"Yes","No")</f>
        <v>Yes</v>
      </c>
      <c r="I9" s="19" t="str">
        <f aca="false">IF(AND(D9="Yes",H9="Yes",G9="Release team"),"Pass","Exception")</f>
        <v>Pass</v>
      </c>
    </row>
    <row r="10" customFormat="false" ht="15" hidden="false" customHeight="false" outlineLevel="0" collapsed="false">
      <c r="A10" s="16" t="s">
        <v>216</v>
      </c>
      <c r="B10" s="16" t="s">
        <v>217</v>
      </c>
      <c r="C10" s="16" t="s">
        <v>214</v>
      </c>
      <c r="D10" s="16" t="s">
        <v>198</v>
      </c>
      <c r="E10" s="20" t="n">
        <v>46042</v>
      </c>
      <c r="F10" s="20" t="n">
        <v>46044</v>
      </c>
      <c r="G10" s="16" t="s">
        <v>215</v>
      </c>
      <c r="H10" s="19" t="str">
        <f aca="false">IF(E10&lt;=F10,"Yes","No")</f>
        <v>Yes</v>
      </c>
      <c r="I10" s="19" t="str">
        <f aca="false">IF(AND(D10="Yes",H10="Yes",G10="Release team"),"Pass","Exception")</f>
        <v>Pass</v>
      </c>
    </row>
    <row r="11" customFormat="false" ht="15" hidden="false" customHeight="false" outlineLevel="0" collapsed="false">
      <c r="A11" s="16" t="s">
        <v>218</v>
      </c>
      <c r="B11" s="16" t="s">
        <v>219</v>
      </c>
      <c r="C11" s="16" t="s">
        <v>214</v>
      </c>
      <c r="D11" s="16" t="s">
        <v>198</v>
      </c>
      <c r="E11" s="20" t="n">
        <v>46056</v>
      </c>
      <c r="F11" s="20" t="n">
        <v>46058</v>
      </c>
      <c r="G11" s="16" t="s">
        <v>215</v>
      </c>
      <c r="H11" s="19" t="str">
        <f aca="false">IF(E11&lt;=F11,"Yes","No")</f>
        <v>Yes</v>
      </c>
      <c r="I11" s="19" t="str">
        <f aca="false">IF(AND(D11="Yes",H11="Yes",G11="Release team"),"Pass","Exception")</f>
        <v>Pass</v>
      </c>
    </row>
    <row r="12" customFormat="false" ht="15" hidden="false" customHeight="false" outlineLevel="0" collapsed="false">
      <c r="A12" s="16" t="s">
        <v>220</v>
      </c>
      <c r="B12" s="16" t="s">
        <v>221</v>
      </c>
      <c r="C12" s="16" t="s">
        <v>214</v>
      </c>
      <c r="D12" s="16" t="s">
        <v>198</v>
      </c>
      <c r="E12" s="20" t="n">
        <v>46065</v>
      </c>
      <c r="F12" s="20" t="n">
        <v>46065</v>
      </c>
      <c r="G12" s="16" t="s">
        <v>215</v>
      </c>
      <c r="H12" s="19" t="str">
        <f aca="false">IF(E12&lt;=F12,"Yes","No")</f>
        <v>Yes</v>
      </c>
      <c r="I12" s="19" t="str">
        <f aca="false">IF(AND(D12="Yes",H12="Yes",G12="Release team"),"Pass","Exception")</f>
        <v>Pass</v>
      </c>
    </row>
    <row r="13" customFormat="false" ht="15" hidden="false" customHeight="false" outlineLevel="0" collapsed="false">
      <c r="A13" s="16" t="s">
        <v>222</v>
      </c>
      <c r="B13" s="16" t="s">
        <v>223</v>
      </c>
      <c r="C13" s="16" t="s">
        <v>214</v>
      </c>
      <c r="D13" s="16" t="s">
        <v>198</v>
      </c>
      <c r="E13" s="20" t="n">
        <v>46077</v>
      </c>
      <c r="F13" s="20" t="n">
        <v>46079</v>
      </c>
      <c r="G13" s="16" t="s">
        <v>215</v>
      </c>
      <c r="H13" s="19" t="str">
        <f aca="false">IF(E13&lt;=F13,"Yes","No")</f>
        <v>Yes</v>
      </c>
      <c r="I13" s="19" t="str">
        <f aca="false">IF(AND(D13="Yes",H13="Yes",G13="Release team"),"Pass","Exception")</f>
        <v>Pass</v>
      </c>
    </row>
    <row r="14" customFormat="false" ht="15" hidden="false" customHeight="false" outlineLevel="0" collapsed="false">
      <c r="A14" s="16" t="s">
        <v>224</v>
      </c>
      <c r="B14" s="16" t="s">
        <v>225</v>
      </c>
      <c r="C14" s="16" t="s">
        <v>214</v>
      </c>
      <c r="D14" s="16" t="s">
        <v>198</v>
      </c>
      <c r="E14" s="20" t="n">
        <v>46086</v>
      </c>
      <c r="F14" s="20" t="n">
        <v>46087</v>
      </c>
      <c r="G14" s="16" t="s">
        <v>215</v>
      </c>
      <c r="H14" s="19" t="str">
        <f aca="false">IF(E14&lt;=F14,"Yes","No")</f>
        <v>Yes</v>
      </c>
      <c r="I14" s="19" t="str">
        <f aca="false">IF(AND(D14="Yes",H14="Yes",G14="Release team"),"Pass","Exception")</f>
        <v>Pass</v>
      </c>
    </row>
    <row r="15" customFormat="false" ht="15" hidden="false" customHeight="false" outlineLevel="0" collapsed="false">
      <c r="A15" s="16" t="s">
        <v>226</v>
      </c>
      <c r="B15" s="16" t="s">
        <v>227</v>
      </c>
      <c r="C15" s="16" t="s">
        <v>214</v>
      </c>
      <c r="D15" s="16" t="s">
        <v>198</v>
      </c>
      <c r="E15" s="20" t="n">
        <v>46099</v>
      </c>
      <c r="F15" s="20" t="n">
        <v>46100</v>
      </c>
      <c r="G15" s="16" t="s">
        <v>215</v>
      </c>
      <c r="H15" s="19" t="str">
        <f aca="false">IF(E15&lt;=F15,"Yes","No")</f>
        <v>Yes</v>
      </c>
      <c r="I15" s="19" t="str">
        <f aca="false">IF(AND(D15="Yes",H15="Yes",G15="Release team"),"Pass","Exception")</f>
        <v>Pass</v>
      </c>
    </row>
    <row r="16" customFormat="false" ht="15" hidden="false" customHeight="false" outlineLevel="0" collapsed="false">
      <c r="A16" s="16" t="s">
        <v>228</v>
      </c>
      <c r="B16" s="16" t="s">
        <v>229</v>
      </c>
      <c r="C16" s="16" t="s">
        <v>214</v>
      </c>
      <c r="D16" s="16" t="s">
        <v>198</v>
      </c>
      <c r="E16" s="20" t="n">
        <v>46112</v>
      </c>
      <c r="F16" s="20" t="n">
        <v>46114</v>
      </c>
      <c r="G16" s="16" t="s">
        <v>215</v>
      </c>
      <c r="H16" s="19" t="str">
        <f aca="false">IF(E16&lt;=F16,"Yes","No")</f>
        <v>Yes</v>
      </c>
      <c r="I16" s="19" t="str">
        <f aca="false">IF(AND(D16="Yes",H16="Yes",G16="Release team"),"Pass","Exception")</f>
        <v>Pass</v>
      </c>
    </row>
    <row r="17" customFormat="false" ht="15" hidden="false" customHeight="false" outlineLevel="0" collapsed="false">
      <c r="A17" s="16" t="s">
        <v>230</v>
      </c>
      <c r="B17" s="16" t="s">
        <v>231</v>
      </c>
      <c r="C17" s="16" t="s">
        <v>232</v>
      </c>
      <c r="D17" s="16" t="s">
        <v>198</v>
      </c>
      <c r="E17" s="20" t="n">
        <v>46128</v>
      </c>
      <c r="F17" s="20" t="n">
        <v>46126</v>
      </c>
      <c r="G17" s="16" t="s">
        <v>215</v>
      </c>
      <c r="H17" s="19" t="str">
        <f aca="false">IF(E17&lt;=F17,"Yes","No")</f>
        <v>No</v>
      </c>
      <c r="I17" s="19" t="str">
        <f aca="false">IF(AND(D17="Yes",H17="Yes",G17="Release team"),"Pass","Exception")</f>
        <v>Exception</v>
      </c>
    </row>
    <row r="18" customFormat="false" ht="15" hidden="false" customHeight="false" outlineLevel="0" collapsed="false">
      <c r="A18" s="16" t="s">
        <v>233</v>
      </c>
      <c r="B18" s="16" t="s">
        <v>234</v>
      </c>
      <c r="C18" s="16" t="s">
        <v>214</v>
      </c>
      <c r="D18" s="16" t="s">
        <v>198</v>
      </c>
      <c r="E18" s="20" t="n">
        <v>46140</v>
      </c>
      <c r="F18" s="20" t="n">
        <v>46142</v>
      </c>
      <c r="G18" s="16" t="s">
        <v>215</v>
      </c>
      <c r="H18" s="19" t="str">
        <f aca="false">IF(E18&lt;=F18,"Yes","No")</f>
        <v>Yes</v>
      </c>
      <c r="I18" s="19" t="str">
        <f aca="false">IF(AND(D18="Yes",H18="Yes",G18="Release team"),"Pass","Exception")</f>
        <v>Pass</v>
      </c>
    </row>
    <row r="19" customFormat="false" ht="15" hidden="false" customHeight="false" outlineLevel="0" collapsed="false">
      <c r="A19" s="16" t="s">
        <v>235</v>
      </c>
      <c r="B19" s="16" t="s">
        <v>236</v>
      </c>
      <c r="C19" s="16" t="s">
        <v>214</v>
      </c>
      <c r="D19" s="16" t="s">
        <v>198</v>
      </c>
      <c r="E19" s="20" t="n">
        <v>46154</v>
      </c>
      <c r="F19" s="20" t="n">
        <v>46156</v>
      </c>
      <c r="G19" s="16" t="s">
        <v>215</v>
      </c>
      <c r="H19" s="19" t="str">
        <f aca="false">IF(E19&lt;=F19,"Yes","No")</f>
        <v>Yes</v>
      </c>
      <c r="I19" s="19" t="str">
        <f aca="false">IF(AND(D19="Yes",H19="Yes",G19="Release team"),"Pass","Exception")</f>
        <v>Pass</v>
      </c>
    </row>
    <row r="20" customFormat="false" ht="15" hidden="false" customHeight="false" outlineLevel="0" collapsed="false">
      <c r="A20" s="16" t="s">
        <v>237</v>
      </c>
      <c r="B20" s="16" t="s">
        <v>238</v>
      </c>
      <c r="C20" s="16" t="s">
        <v>214</v>
      </c>
      <c r="D20" s="16" t="s">
        <v>198</v>
      </c>
      <c r="E20" s="20" t="n">
        <v>46163</v>
      </c>
      <c r="F20" s="20" t="n">
        <v>46168</v>
      </c>
      <c r="G20" s="16" t="s">
        <v>215</v>
      </c>
      <c r="H20" s="19" t="str">
        <f aca="false">IF(E20&lt;=F20,"Yes","No")</f>
        <v>Yes</v>
      </c>
      <c r="I20" s="19" t="str">
        <f aca="false">IF(AND(D20="Yes",H20="Yes",G20="Release team"),"Pass","Exception")</f>
        <v>Pass</v>
      </c>
    </row>
    <row r="21" customFormat="false" ht="15" hidden="false" customHeight="false" outlineLevel="0" collapsed="false">
      <c r="A21" s="16" t="s">
        <v>239</v>
      </c>
      <c r="B21" s="16" t="s">
        <v>240</v>
      </c>
      <c r="C21" s="16" t="s">
        <v>232</v>
      </c>
      <c r="D21" s="16" t="s">
        <v>198</v>
      </c>
      <c r="E21" s="20" t="n">
        <v>46177</v>
      </c>
      <c r="F21" s="20" t="n">
        <v>46177</v>
      </c>
      <c r="G21" s="16" t="s">
        <v>215</v>
      </c>
      <c r="H21" s="19" t="str">
        <f aca="false">IF(E21&lt;=F21,"Yes","No")</f>
        <v>Yes</v>
      </c>
      <c r="I21" s="19" t="str">
        <f aca="false">IF(AND(D21="Yes",H21="Yes",G21="Release team"),"Pass","Exception")</f>
        <v>Pass</v>
      </c>
    </row>
    <row r="22" customFormat="false" ht="15" hidden="false" customHeight="false" outlineLevel="0" collapsed="false">
      <c r="A22" s="16" t="s">
        <v>241</v>
      </c>
      <c r="B22" s="16" t="s">
        <v>242</v>
      </c>
      <c r="C22" s="16" t="s">
        <v>214</v>
      </c>
      <c r="D22" s="16" t="s">
        <v>198</v>
      </c>
      <c r="E22" s="20" t="n">
        <v>46189</v>
      </c>
      <c r="F22" s="20" t="n">
        <v>46191</v>
      </c>
      <c r="G22" s="16" t="s">
        <v>215</v>
      </c>
      <c r="H22" s="19" t="str">
        <f aca="false">IF(E22&lt;=F22,"Yes","No")</f>
        <v>Yes</v>
      </c>
      <c r="I22" s="19" t="str">
        <f aca="false">IF(AND(D22="Yes",H22="Yes",G22="Release team"),"Pass","Exception")</f>
        <v>Pass</v>
      </c>
    </row>
    <row r="23" customFormat="false" ht="15" hidden="false" customHeight="false" outlineLevel="0" collapsed="false">
      <c r="A23" s="16" t="s">
        <v>243</v>
      </c>
      <c r="B23" s="16" t="s">
        <v>244</v>
      </c>
      <c r="C23" s="16" t="s">
        <v>214</v>
      </c>
      <c r="D23" s="16" t="s">
        <v>198</v>
      </c>
      <c r="E23" s="20" t="n">
        <v>46198</v>
      </c>
      <c r="F23" s="20" t="n">
        <v>46202</v>
      </c>
      <c r="G23" s="16" t="s">
        <v>215</v>
      </c>
      <c r="H23" s="19" t="str">
        <f aca="false">IF(E23&lt;=F23,"Yes","No")</f>
        <v>Yes</v>
      </c>
      <c r="I23" s="19" t="str">
        <f aca="false">IF(AND(D23="Yes",H23="Yes",G23="Release team"),"Pass","Exception")</f>
        <v>Pass</v>
      </c>
    </row>
    <row r="25" customFormat="false" ht="15" hidden="false" customHeight="false" outlineLevel="0" collapsed="false">
      <c r="A25" s="22" t="s">
        <v>245</v>
      </c>
    </row>
  </sheetData>
  <mergeCells count="4">
    <mergeCell ref="B3:I3"/>
    <mergeCell ref="B4:I4"/>
    <mergeCell ref="B5:I5"/>
    <mergeCell ref="B6:I6"/>
  </mergeCells>
  <conditionalFormatting sqref="I9:I23">
    <cfRule type="cellIs" priority="2" operator="equal" aboveAverage="0" equalAverage="0" bottom="0" percent="0" rank="0" text="" dxfId="0">
      <formula>"Pass"</formula>
    </cfRule>
    <cfRule type="cellIs" priority="3" operator="equal" aboveAverage="0" equalAverage="0" bottom="0" percent="0" rank="0" text="" dxfId="1">
      <formula>"Exception"</formula>
    </cfRule>
    <cfRule type="cellIs" priority="4" operator="equal" aboveAverage="0" equalAverage="0" bottom="0" percent="0" rank="0" text="" dxfId="0">
      <formula>"Effective"</formula>
    </cfRule>
    <cfRule type="cellIs" priority="5" operator="equal" aboveAverage="0" equalAverage="0" bottom="0" percent="0" rank="0" text="" dxfId="1">
      <formula>"Exception noted"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3" min="3" style="1" width="12"/>
    <col collapsed="false" customWidth="true" hidden="false" outlineLevel="0" max="5" min="4" style="1" width="14"/>
    <col collapsed="false" customWidth="true" hidden="false" outlineLevel="0" max="6" min="6" style="1" width="11"/>
    <col collapsed="false" customWidth="true" hidden="false" outlineLevel="0" max="9" min="7" style="1" width="10"/>
  </cols>
  <sheetData>
    <row r="1" customFormat="false" ht="17.35" hidden="false" customHeight="false" outlineLevel="0" collapsed="false">
      <c r="A1" s="2" t="s">
        <v>246</v>
      </c>
    </row>
    <row r="3" customFormat="false" ht="30" hidden="false" customHeight="true" outlineLevel="0" collapsed="false">
      <c r="A3" s="4" t="s">
        <v>148</v>
      </c>
      <c r="B3" s="5" t="s">
        <v>247</v>
      </c>
      <c r="C3" s="5"/>
      <c r="D3" s="5"/>
      <c r="E3" s="5"/>
      <c r="F3" s="5"/>
      <c r="G3" s="5"/>
      <c r="H3" s="5"/>
      <c r="I3" s="5"/>
    </row>
    <row r="4" customFormat="false" ht="15.75" hidden="false" customHeight="true" outlineLevel="0" collapsed="false">
      <c r="A4" s="4" t="s">
        <v>79</v>
      </c>
      <c r="B4" s="5" t="s">
        <v>248</v>
      </c>
      <c r="C4" s="5"/>
      <c r="D4" s="5"/>
      <c r="E4" s="5"/>
      <c r="F4" s="5"/>
      <c r="G4" s="5"/>
      <c r="H4" s="5"/>
      <c r="I4" s="5"/>
    </row>
    <row r="5" customFormat="false" ht="15.75" hidden="false" customHeight="true" outlineLevel="0" collapsed="false">
      <c r="A5" s="4" t="s">
        <v>151</v>
      </c>
      <c r="B5" s="5" t="s">
        <v>249</v>
      </c>
      <c r="C5" s="5"/>
      <c r="D5" s="5"/>
      <c r="E5" s="5"/>
      <c r="F5" s="5"/>
      <c r="G5" s="5"/>
      <c r="H5" s="5"/>
      <c r="I5" s="5"/>
    </row>
    <row r="6" customFormat="false" ht="15.75" hidden="false" customHeight="true" outlineLevel="0" collapsed="false">
      <c r="A6" s="4" t="s">
        <v>153</v>
      </c>
      <c r="B6" s="5" t="s">
        <v>250</v>
      </c>
      <c r="C6" s="5"/>
      <c r="D6" s="5"/>
      <c r="E6" s="5"/>
      <c r="F6" s="5"/>
      <c r="G6" s="5"/>
      <c r="H6" s="5"/>
      <c r="I6" s="5"/>
    </row>
    <row r="8" customFormat="false" ht="31.5" hidden="false" customHeight="true" outlineLevel="0" collapsed="false">
      <c r="A8" s="12" t="s">
        <v>251</v>
      </c>
      <c r="B8" s="12" t="s">
        <v>252</v>
      </c>
      <c r="C8" s="12" t="s">
        <v>253</v>
      </c>
      <c r="D8" s="12" t="s">
        <v>254</v>
      </c>
      <c r="E8" s="12" t="s">
        <v>255</v>
      </c>
      <c r="F8" s="12" t="s">
        <v>39</v>
      </c>
    </row>
    <row r="9" customFormat="false" ht="15" hidden="false" customHeight="false" outlineLevel="0" collapsed="false">
      <c r="A9" s="16" t="s">
        <v>256</v>
      </c>
      <c r="B9" s="16" t="s">
        <v>257</v>
      </c>
      <c r="C9" s="16" t="s">
        <v>258</v>
      </c>
      <c r="D9" s="16" t="s">
        <v>198</v>
      </c>
      <c r="E9" s="16" t="s">
        <v>259</v>
      </c>
      <c r="F9" s="19" t="str">
        <f aca="false">IF(AND(D9="Yes",E9="No"),"Pass","Exception")</f>
        <v>Pass</v>
      </c>
    </row>
    <row r="10" customFormat="false" ht="15" hidden="false" customHeight="false" outlineLevel="0" collapsed="false">
      <c r="A10" s="16" t="s">
        <v>260</v>
      </c>
      <c r="B10" s="16" t="s">
        <v>257</v>
      </c>
      <c r="C10" s="16" t="s">
        <v>258</v>
      </c>
      <c r="D10" s="16" t="s">
        <v>198</v>
      </c>
      <c r="E10" s="16" t="s">
        <v>259</v>
      </c>
      <c r="F10" s="19" t="str">
        <f aca="false">IF(AND(D10="Yes",E10="No"),"Pass","Exception")</f>
        <v>Pass</v>
      </c>
    </row>
    <row r="11" customFormat="false" ht="15" hidden="false" customHeight="false" outlineLevel="0" collapsed="false">
      <c r="A11" s="16" t="s">
        <v>261</v>
      </c>
      <c r="B11" s="16" t="s">
        <v>262</v>
      </c>
      <c r="C11" s="16" t="s">
        <v>263</v>
      </c>
      <c r="D11" s="16" t="s">
        <v>198</v>
      </c>
      <c r="E11" s="16" t="s">
        <v>259</v>
      </c>
      <c r="F11" s="19" t="str">
        <f aca="false">IF(AND(D11="Yes",E11="No"),"Pass","Exception")</f>
        <v>Pass</v>
      </c>
    </row>
    <row r="12" customFormat="false" ht="15" hidden="false" customHeight="false" outlineLevel="0" collapsed="false">
      <c r="A12" s="16" t="s">
        <v>264</v>
      </c>
      <c r="B12" s="16" t="s">
        <v>262</v>
      </c>
      <c r="C12" s="16" t="s">
        <v>263</v>
      </c>
      <c r="D12" s="16" t="s">
        <v>198</v>
      </c>
      <c r="E12" s="16" t="s">
        <v>259</v>
      </c>
      <c r="F12" s="19" t="str">
        <f aca="false">IF(AND(D12="Yes",E12="No"),"Pass","Exception")</f>
        <v>Pass</v>
      </c>
    </row>
    <row r="13" customFormat="false" ht="15" hidden="false" customHeight="false" outlineLevel="0" collapsed="false">
      <c r="A13" s="16" t="s">
        <v>265</v>
      </c>
      <c r="B13" s="16" t="s">
        <v>108</v>
      </c>
      <c r="C13" s="16" t="s">
        <v>258</v>
      </c>
      <c r="D13" s="16" t="s">
        <v>198</v>
      </c>
      <c r="E13" s="16" t="s">
        <v>259</v>
      </c>
      <c r="F13" s="19" t="str">
        <f aca="false">IF(AND(D13="Yes",E13="No"),"Pass","Exception")</f>
        <v>Pass</v>
      </c>
    </row>
    <row r="14" customFormat="false" ht="15" hidden="false" customHeight="false" outlineLevel="0" collapsed="false">
      <c r="A14" s="16" t="s">
        <v>266</v>
      </c>
      <c r="B14" s="16" t="s">
        <v>267</v>
      </c>
      <c r="C14" s="16" t="s">
        <v>258</v>
      </c>
      <c r="D14" s="16" t="s">
        <v>198</v>
      </c>
      <c r="E14" s="16" t="s">
        <v>259</v>
      </c>
      <c r="F14" s="19" t="str">
        <f aca="false">IF(AND(D14="Yes",E14="No"),"Pass","Exception")</f>
        <v>Pass</v>
      </c>
    </row>
  </sheetData>
  <mergeCells count="4">
    <mergeCell ref="B3:I3"/>
    <mergeCell ref="B4:I4"/>
    <mergeCell ref="B5:I5"/>
    <mergeCell ref="B6:I6"/>
  </mergeCells>
  <conditionalFormatting sqref="F9:F14">
    <cfRule type="cellIs" priority="2" operator="equal" aboveAverage="0" equalAverage="0" bottom="0" percent="0" rank="0" text="" dxfId="0">
      <formula>"Pass"</formula>
    </cfRule>
    <cfRule type="cellIs" priority="3" operator="equal" aboveAverage="0" equalAverage="0" bottom="0" percent="0" rank="0" text="" dxfId="1">
      <formula>"Exception"</formula>
    </cfRule>
    <cfRule type="cellIs" priority="4" operator="equal" aboveAverage="0" equalAverage="0" bottom="0" percent="0" rank="0" text="" dxfId="0">
      <formula>"Effective"</formula>
    </cfRule>
    <cfRule type="cellIs" priority="5" operator="equal" aboveAverage="0" equalAverage="0" bottom="0" percent="0" rank="0" text="" dxfId="1">
      <formula>"Exception noted"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4" min="2" style="1" width="12"/>
    <col collapsed="false" customWidth="true" hidden="false" outlineLevel="0" max="5" min="5" style="1" width="16"/>
    <col collapsed="false" customWidth="true" hidden="false" outlineLevel="0" max="6" min="6" style="1" width="11"/>
    <col collapsed="false" customWidth="true" hidden="false" outlineLevel="0" max="9" min="7" style="1" width="10"/>
  </cols>
  <sheetData>
    <row r="1" customFormat="false" ht="17.35" hidden="false" customHeight="false" outlineLevel="0" collapsed="false">
      <c r="A1" s="2" t="s">
        <v>268</v>
      </c>
    </row>
    <row r="3" customFormat="false" ht="30" hidden="false" customHeight="true" outlineLevel="0" collapsed="false">
      <c r="A3" s="4" t="s">
        <v>148</v>
      </c>
      <c r="B3" s="5" t="s">
        <v>269</v>
      </c>
      <c r="C3" s="5"/>
      <c r="D3" s="5"/>
      <c r="E3" s="5"/>
      <c r="F3" s="5"/>
      <c r="G3" s="5"/>
      <c r="H3" s="5"/>
      <c r="I3" s="5"/>
    </row>
    <row r="4" customFormat="false" ht="15.75" hidden="false" customHeight="true" outlineLevel="0" collapsed="false">
      <c r="A4" s="4" t="s">
        <v>79</v>
      </c>
      <c r="B4" s="5" t="s">
        <v>270</v>
      </c>
      <c r="C4" s="5"/>
      <c r="D4" s="5"/>
      <c r="E4" s="5"/>
      <c r="F4" s="5"/>
      <c r="G4" s="5"/>
      <c r="H4" s="5"/>
      <c r="I4" s="5"/>
    </row>
    <row r="5" customFormat="false" ht="15.75" hidden="false" customHeight="true" outlineLevel="0" collapsed="false">
      <c r="A5" s="4" t="s">
        <v>151</v>
      </c>
      <c r="B5" s="5" t="s">
        <v>271</v>
      </c>
      <c r="C5" s="5"/>
      <c r="D5" s="5"/>
      <c r="E5" s="5"/>
      <c r="F5" s="5"/>
      <c r="G5" s="5"/>
      <c r="H5" s="5"/>
      <c r="I5" s="5"/>
    </row>
    <row r="6" customFormat="false" ht="15.75" hidden="false" customHeight="true" outlineLevel="0" collapsed="false">
      <c r="A6" s="4" t="s">
        <v>153</v>
      </c>
      <c r="B6" s="5" t="s">
        <v>272</v>
      </c>
      <c r="C6" s="5"/>
      <c r="D6" s="5"/>
      <c r="E6" s="5"/>
      <c r="F6" s="5"/>
      <c r="G6" s="5"/>
      <c r="H6" s="5"/>
      <c r="I6" s="5"/>
    </row>
    <row r="8" customFormat="false" ht="31.5" hidden="false" customHeight="true" outlineLevel="0" collapsed="false">
      <c r="A8" s="12" t="s">
        <v>273</v>
      </c>
      <c r="B8" s="12" t="s">
        <v>274</v>
      </c>
      <c r="C8" s="12" t="s">
        <v>275</v>
      </c>
      <c r="D8" s="12" t="s">
        <v>276</v>
      </c>
      <c r="E8" s="12" t="s">
        <v>277</v>
      </c>
      <c r="F8" s="12" t="s">
        <v>39</v>
      </c>
    </row>
    <row r="9" customFormat="false" ht="15" hidden="false" customHeight="false" outlineLevel="0" collapsed="false">
      <c r="A9" s="20" t="n">
        <v>46028</v>
      </c>
      <c r="B9" s="16" t="s">
        <v>278</v>
      </c>
      <c r="C9" s="16" t="s">
        <v>279</v>
      </c>
      <c r="D9" s="16" t="s">
        <v>279</v>
      </c>
      <c r="E9" s="16" t="s">
        <v>279</v>
      </c>
      <c r="F9" s="19" t="str">
        <f aca="false">IF(B9="Success","Pass",IF(AND(C9="Yes",E9="Yes"),"Pass","Exception"))</f>
        <v>Pass</v>
      </c>
    </row>
    <row r="10" customFormat="false" ht="15" hidden="false" customHeight="false" outlineLevel="0" collapsed="false">
      <c r="A10" s="20" t="n">
        <v>46036</v>
      </c>
      <c r="B10" s="16" t="s">
        <v>278</v>
      </c>
      <c r="C10" s="16" t="s">
        <v>279</v>
      </c>
      <c r="D10" s="16" t="s">
        <v>279</v>
      </c>
      <c r="E10" s="16" t="s">
        <v>279</v>
      </c>
      <c r="F10" s="19" t="str">
        <f aca="false">IF(B10="Success","Pass",IF(AND(C10="Yes",E10="Yes"),"Pass","Exception"))</f>
        <v>Pass</v>
      </c>
    </row>
    <row r="11" customFormat="false" ht="15" hidden="false" customHeight="false" outlineLevel="0" collapsed="false">
      <c r="A11" s="20" t="n">
        <v>46043</v>
      </c>
      <c r="B11" s="16" t="s">
        <v>278</v>
      </c>
      <c r="C11" s="16" t="s">
        <v>279</v>
      </c>
      <c r="D11" s="16" t="s">
        <v>279</v>
      </c>
      <c r="E11" s="16" t="s">
        <v>279</v>
      </c>
      <c r="F11" s="19" t="str">
        <f aca="false">IF(B11="Success","Pass",IF(AND(C11="Yes",E11="Yes"),"Pass","Exception"))</f>
        <v>Pass</v>
      </c>
    </row>
    <row r="12" customFormat="false" ht="15" hidden="false" customHeight="false" outlineLevel="0" collapsed="false">
      <c r="A12" s="20" t="n">
        <v>46051</v>
      </c>
      <c r="B12" s="16" t="s">
        <v>278</v>
      </c>
      <c r="C12" s="16" t="s">
        <v>279</v>
      </c>
      <c r="D12" s="16" t="s">
        <v>279</v>
      </c>
      <c r="E12" s="16" t="s">
        <v>279</v>
      </c>
      <c r="F12" s="19" t="str">
        <f aca="false">IF(B12="Success","Pass",IF(AND(C12="Yes",E12="Yes"),"Pass","Exception"))</f>
        <v>Pass</v>
      </c>
    </row>
    <row r="13" customFormat="false" ht="15" hidden="false" customHeight="false" outlineLevel="0" collapsed="false">
      <c r="A13" s="20" t="n">
        <v>46057</v>
      </c>
      <c r="B13" s="16" t="s">
        <v>278</v>
      </c>
      <c r="C13" s="16" t="s">
        <v>279</v>
      </c>
      <c r="D13" s="16" t="s">
        <v>279</v>
      </c>
      <c r="E13" s="16" t="s">
        <v>279</v>
      </c>
      <c r="F13" s="19" t="str">
        <f aca="false">IF(B13="Success","Pass",IF(AND(C13="Yes",E13="Yes"),"Pass","Exception"))</f>
        <v>Pass</v>
      </c>
    </row>
    <row r="14" customFormat="false" ht="15" hidden="false" customHeight="false" outlineLevel="0" collapsed="false">
      <c r="A14" s="20" t="n">
        <v>46064</v>
      </c>
      <c r="B14" s="16" t="s">
        <v>278</v>
      </c>
      <c r="C14" s="16" t="s">
        <v>279</v>
      </c>
      <c r="D14" s="16" t="s">
        <v>279</v>
      </c>
      <c r="E14" s="16" t="s">
        <v>279</v>
      </c>
      <c r="F14" s="19" t="str">
        <f aca="false">IF(B14="Success","Pass",IF(AND(C14="Yes",E14="Yes"),"Pass","Exception"))</f>
        <v>Pass</v>
      </c>
    </row>
    <row r="15" customFormat="false" ht="15" hidden="false" customHeight="false" outlineLevel="0" collapsed="false">
      <c r="A15" s="20" t="n">
        <v>46072</v>
      </c>
      <c r="B15" s="16" t="s">
        <v>278</v>
      </c>
      <c r="C15" s="16" t="s">
        <v>279</v>
      </c>
      <c r="D15" s="16" t="s">
        <v>279</v>
      </c>
      <c r="E15" s="16" t="s">
        <v>279</v>
      </c>
      <c r="F15" s="19" t="str">
        <f aca="false">IF(B15="Success","Pass",IF(AND(C15="Yes",E15="Yes"),"Pass","Exception"))</f>
        <v>Pass</v>
      </c>
    </row>
    <row r="16" customFormat="false" ht="15" hidden="false" customHeight="false" outlineLevel="0" collapsed="false">
      <c r="A16" s="20" t="n">
        <v>46078</v>
      </c>
      <c r="B16" s="16" t="s">
        <v>278</v>
      </c>
      <c r="C16" s="16" t="s">
        <v>279</v>
      </c>
      <c r="D16" s="16" t="s">
        <v>279</v>
      </c>
      <c r="E16" s="16" t="s">
        <v>279</v>
      </c>
      <c r="F16" s="19" t="str">
        <f aca="false">IF(B16="Success","Pass",IF(AND(C16="Yes",E16="Yes"),"Pass","Exception"))</f>
        <v>Pass</v>
      </c>
    </row>
    <row r="17" customFormat="false" ht="15" hidden="false" customHeight="false" outlineLevel="0" collapsed="false">
      <c r="A17" s="20" t="n">
        <v>46085</v>
      </c>
      <c r="B17" s="16" t="s">
        <v>278</v>
      </c>
      <c r="C17" s="16" t="s">
        <v>279</v>
      </c>
      <c r="D17" s="16" t="s">
        <v>279</v>
      </c>
      <c r="E17" s="16" t="s">
        <v>279</v>
      </c>
      <c r="F17" s="19" t="str">
        <f aca="false">IF(B17="Success","Pass",IF(AND(C17="Yes",E17="Yes"),"Pass","Exception"))</f>
        <v>Pass</v>
      </c>
    </row>
    <row r="18" customFormat="false" ht="15" hidden="false" customHeight="false" outlineLevel="0" collapsed="false">
      <c r="A18" s="20" t="n">
        <v>46091</v>
      </c>
      <c r="B18" s="16" t="s">
        <v>280</v>
      </c>
      <c r="C18" s="16" t="s">
        <v>198</v>
      </c>
      <c r="D18" s="16" t="s">
        <v>281</v>
      </c>
      <c r="E18" s="16" t="s">
        <v>198</v>
      </c>
      <c r="F18" s="19" t="str">
        <f aca="false">IF(B18="Success","Pass",IF(AND(C18="Yes",E18="Yes"),"Pass","Exception"))</f>
        <v>Pass</v>
      </c>
    </row>
    <row r="19" customFormat="false" ht="15" hidden="false" customHeight="false" outlineLevel="0" collapsed="false">
      <c r="A19" s="20" t="n">
        <v>46099</v>
      </c>
      <c r="B19" s="16" t="s">
        <v>278</v>
      </c>
      <c r="C19" s="16" t="s">
        <v>279</v>
      </c>
      <c r="D19" s="16" t="s">
        <v>279</v>
      </c>
      <c r="E19" s="16" t="s">
        <v>279</v>
      </c>
      <c r="F19" s="19" t="str">
        <f aca="false">IF(B19="Success","Pass",IF(AND(C19="Yes",E19="Yes"),"Pass","Exception"))</f>
        <v>Pass</v>
      </c>
    </row>
    <row r="20" customFormat="false" ht="15" hidden="false" customHeight="false" outlineLevel="0" collapsed="false">
      <c r="A20" s="20" t="n">
        <v>46107</v>
      </c>
      <c r="B20" s="16" t="s">
        <v>278</v>
      </c>
      <c r="C20" s="16" t="s">
        <v>279</v>
      </c>
      <c r="D20" s="16" t="s">
        <v>279</v>
      </c>
      <c r="E20" s="16" t="s">
        <v>279</v>
      </c>
      <c r="F20" s="19" t="str">
        <f aca="false">IF(B20="Success","Pass",IF(AND(C20="Yes",E20="Yes"),"Pass","Exception"))</f>
        <v>Pass</v>
      </c>
    </row>
    <row r="21" customFormat="false" ht="15" hidden="false" customHeight="false" outlineLevel="0" collapsed="false">
      <c r="A21" s="20" t="n">
        <v>46113</v>
      </c>
      <c r="B21" s="16" t="s">
        <v>278</v>
      </c>
      <c r="C21" s="16" t="s">
        <v>279</v>
      </c>
      <c r="D21" s="16" t="s">
        <v>279</v>
      </c>
      <c r="E21" s="16" t="s">
        <v>279</v>
      </c>
      <c r="F21" s="19" t="str">
        <f aca="false">IF(B21="Success","Pass",IF(AND(C21="Yes",E21="Yes"),"Pass","Exception"))</f>
        <v>Pass</v>
      </c>
    </row>
    <row r="22" customFormat="false" ht="15" hidden="false" customHeight="false" outlineLevel="0" collapsed="false">
      <c r="A22" s="20" t="n">
        <v>46121</v>
      </c>
      <c r="B22" s="16" t="s">
        <v>278</v>
      </c>
      <c r="C22" s="16" t="s">
        <v>279</v>
      </c>
      <c r="D22" s="16" t="s">
        <v>279</v>
      </c>
      <c r="E22" s="16" t="s">
        <v>279</v>
      </c>
      <c r="F22" s="19" t="str">
        <f aca="false">IF(B22="Success","Pass",IF(AND(C22="Yes",E22="Yes"),"Pass","Exception"))</f>
        <v>Pass</v>
      </c>
    </row>
    <row r="23" customFormat="false" ht="15" hidden="false" customHeight="false" outlineLevel="0" collapsed="false">
      <c r="A23" s="20" t="n">
        <v>46127</v>
      </c>
      <c r="B23" s="16" t="s">
        <v>278</v>
      </c>
      <c r="C23" s="16" t="s">
        <v>279</v>
      </c>
      <c r="D23" s="16" t="s">
        <v>279</v>
      </c>
      <c r="E23" s="16" t="s">
        <v>279</v>
      </c>
      <c r="F23" s="19" t="str">
        <f aca="false">IF(B23="Success","Pass",IF(AND(C23="Yes",E23="Yes"),"Pass","Exception"))</f>
        <v>Pass</v>
      </c>
    </row>
    <row r="24" customFormat="false" ht="15" hidden="false" customHeight="false" outlineLevel="0" collapsed="false">
      <c r="A24" s="20" t="n">
        <v>46135</v>
      </c>
      <c r="B24" s="16" t="s">
        <v>278</v>
      </c>
      <c r="C24" s="16" t="s">
        <v>279</v>
      </c>
      <c r="D24" s="16" t="s">
        <v>279</v>
      </c>
      <c r="E24" s="16" t="s">
        <v>279</v>
      </c>
      <c r="F24" s="19" t="str">
        <f aca="false">IF(B24="Success","Pass",IF(AND(C24="Yes",E24="Yes"),"Pass","Exception"))</f>
        <v>Pass</v>
      </c>
    </row>
    <row r="25" customFormat="false" ht="15" hidden="false" customHeight="false" outlineLevel="0" collapsed="false">
      <c r="A25" s="20" t="n">
        <v>46141</v>
      </c>
      <c r="B25" s="16" t="s">
        <v>278</v>
      </c>
      <c r="C25" s="16" t="s">
        <v>279</v>
      </c>
      <c r="D25" s="16" t="s">
        <v>279</v>
      </c>
      <c r="E25" s="16" t="s">
        <v>279</v>
      </c>
      <c r="F25" s="19" t="str">
        <f aca="false">IF(B25="Success","Pass",IF(AND(C25="Yes",E25="Yes"),"Pass","Exception"))</f>
        <v>Pass</v>
      </c>
    </row>
    <row r="26" customFormat="false" ht="15" hidden="false" customHeight="false" outlineLevel="0" collapsed="false">
      <c r="A26" s="20" t="n">
        <v>46149</v>
      </c>
      <c r="B26" s="16" t="s">
        <v>280</v>
      </c>
      <c r="C26" s="16" t="s">
        <v>198</v>
      </c>
      <c r="D26" s="16" t="s">
        <v>282</v>
      </c>
      <c r="E26" s="16" t="s">
        <v>198</v>
      </c>
      <c r="F26" s="19" t="str">
        <f aca="false">IF(B26="Success","Pass",IF(AND(C26="Yes",E26="Yes"),"Pass","Exception"))</f>
        <v>Pass</v>
      </c>
    </row>
    <row r="27" customFormat="false" ht="15" hidden="false" customHeight="false" outlineLevel="0" collapsed="false">
      <c r="A27" s="20" t="n">
        <v>46155</v>
      </c>
      <c r="B27" s="16" t="s">
        <v>278</v>
      </c>
      <c r="C27" s="16" t="s">
        <v>279</v>
      </c>
      <c r="D27" s="16" t="s">
        <v>279</v>
      </c>
      <c r="E27" s="16" t="s">
        <v>279</v>
      </c>
      <c r="F27" s="19" t="str">
        <f aca="false">IF(B27="Success","Pass",IF(AND(C27="Yes",E27="Yes"),"Pass","Exception"))</f>
        <v>Pass</v>
      </c>
    </row>
    <row r="28" customFormat="false" ht="15" hidden="false" customHeight="false" outlineLevel="0" collapsed="false">
      <c r="A28" s="20" t="n">
        <v>46163</v>
      </c>
      <c r="B28" s="16" t="s">
        <v>278</v>
      </c>
      <c r="C28" s="16" t="s">
        <v>279</v>
      </c>
      <c r="D28" s="16" t="s">
        <v>279</v>
      </c>
      <c r="E28" s="16" t="s">
        <v>279</v>
      </c>
      <c r="F28" s="19" t="str">
        <f aca="false">IF(B28="Success","Pass",IF(AND(C28="Yes",E28="Yes"),"Pass","Exception"))</f>
        <v>Pass</v>
      </c>
    </row>
    <row r="29" customFormat="false" ht="15" hidden="false" customHeight="false" outlineLevel="0" collapsed="false">
      <c r="A29" s="20" t="n">
        <v>46169</v>
      </c>
      <c r="B29" s="16" t="s">
        <v>278</v>
      </c>
      <c r="C29" s="16" t="s">
        <v>279</v>
      </c>
      <c r="D29" s="16" t="s">
        <v>279</v>
      </c>
      <c r="E29" s="16" t="s">
        <v>279</v>
      </c>
      <c r="F29" s="19" t="str">
        <f aca="false">IF(B29="Success","Pass",IF(AND(C29="Yes",E29="Yes"),"Pass","Exception"))</f>
        <v>Pass</v>
      </c>
    </row>
    <row r="30" customFormat="false" ht="15" hidden="false" customHeight="false" outlineLevel="0" collapsed="false">
      <c r="A30" s="20" t="n">
        <v>46177</v>
      </c>
      <c r="B30" s="16" t="s">
        <v>278</v>
      </c>
      <c r="C30" s="16" t="s">
        <v>279</v>
      </c>
      <c r="D30" s="16" t="s">
        <v>279</v>
      </c>
      <c r="E30" s="16" t="s">
        <v>279</v>
      </c>
      <c r="F30" s="19" t="str">
        <f aca="false">IF(B30="Success","Pass",IF(AND(C30="Yes",E30="Yes"),"Pass","Exception"))</f>
        <v>Pass</v>
      </c>
    </row>
    <row r="31" customFormat="false" ht="15" hidden="false" customHeight="false" outlineLevel="0" collapsed="false">
      <c r="A31" s="20" t="n">
        <v>46183</v>
      </c>
      <c r="B31" s="16" t="s">
        <v>278</v>
      </c>
      <c r="C31" s="16" t="s">
        <v>279</v>
      </c>
      <c r="D31" s="16" t="s">
        <v>279</v>
      </c>
      <c r="E31" s="16" t="s">
        <v>279</v>
      </c>
      <c r="F31" s="19" t="str">
        <f aca="false">IF(B31="Success","Pass",IF(AND(C31="Yes",E31="Yes"),"Pass","Exception"))</f>
        <v>Pass</v>
      </c>
    </row>
    <row r="32" customFormat="false" ht="15" hidden="false" customHeight="false" outlineLevel="0" collapsed="false">
      <c r="A32" s="20" t="n">
        <v>46191</v>
      </c>
      <c r="B32" s="16" t="s">
        <v>278</v>
      </c>
      <c r="C32" s="16" t="s">
        <v>279</v>
      </c>
      <c r="D32" s="16" t="s">
        <v>279</v>
      </c>
      <c r="E32" s="16" t="s">
        <v>279</v>
      </c>
      <c r="F32" s="19" t="str">
        <f aca="false">IF(B32="Success","Pass",IF(AND(C32="Yes",E32="Yes"),"Pass","Exception"))</f>
        <v>Pass</v>
      </c>
    </row>
    <row r="33" customFormat="false" ht="15" hidden="false" customHeight="false" outlineLevel="0" collapsed="false">
      <c r="A33" s="20" t="n">
        <v>46198</v>
      </c>
      <c r="B33" s="16" t="s">
        <v>278</v>
      </c>
      <c r="C33" s="16" t="s">
        <v>279</v>
      </c>
      <c r="D33" s="16" t="s">
        <v>279</v>
      </c>
      <c r="E33" s="16" t="s">
        <v>279</v>
      </c>
      <c r="F33" s="19" t="str">
        <f aca="false">IF(B33="Success","Pass",IF(AND(C33="Yes",E33="Yes"),"Pass","Exception"))</f>
        <v>Pass</v>
      </c>
    </row>
    <row r="35" customFormat="false" ht="15" hidden="false" customHeight="false" outlineLevel="0" collapsed="false">
      <c r="A35" s="22" t="s">
        <v>283</v>
      </c>
    </row>
  </sheetData>
  <mergeCells count="4">
    <mergeCell ref="B3:I3"/>
    <mergeCell ref="B4:I4"/>
    <mergeCell ref="B5:I5"/>
    <mergeCell ref="B6:I6"/>
  </mergeCells>
  <conditionalFormatting sqref="F9:F33">
    <cfRule type="cellIs" priority="2" operator="equal" aboveAverage="0" equalAverage="0" bottom="0" percent="0" rank="0" text="" dxfId="0">
      <formula>"Pass"</formula>
    </cfRule>
    <cfRule type="cellIs" priority="3" operator="equal" aboveAverage="0" equalAverage="0" bottom="0" percent="0" rank="0" text="" dxfId="1">
      <formula>"Exception"</formula>
    </cfRule>
    <cfRule type="cellIs" priority="4" operator="equal" aboveAverage="0" equalAverage="0" bottom="0" percent="0" rank="0" text="" dxfId="0">
      <formula>"Effective"</formula>
    </cfRule>
    <cfRule type="cellIs" priority="5" operator="equal" aboveAverage="0" equalAverage="0" bottom="0" percent="0" rank="0" text="" dxfId="1">
      <formula>"Exception noted"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2"/>
    <col collapsed="false" customWidth="true" hidden="false" outlineLevel="0" max="3" min="3" style="1" width="26"/>
    <col collapsed="false" customWidth="true" hidden="false" outlineLevel="0" max="5" min="4" style="1" width="12"/>
    <col collapsed="false" customWidth="true" hidden="false" outlineLevel="0" max="7" min="6" style="1" width="11"/>
    <col collapsed="false" customWidth="true" hidden="false" outlineLevel="0" max="8" min="8" style="1" width="10"/>
    <col collapsed="false" customWidth="true" hidden="false" outlineLevel="0" max="9" min="9" style="1" width="11"/>
  </cols>
  <sheetData>
    <row r="1" customFormat="false" ht="17.35" hidden="false" customHeight="false" outlineLevel="0" collapsed="false">
      <c r="A1" s="2" t="s">
        <v>284</v>
      </c>
    </row>
    <row r="3" customFormat="false" ht="30" hidden="false" customHeight="true" outlineLevel="0" collapsed="false">
      <c r="A3" s="4" t="s">
        <v>148</v>
      </c>
      <c r="B3" s="5" t="s">
        <v>285</v>
      </c>
      <c r="C3" s="5"/>
      <c r="D3" s="5"/>
      <c r="E3" s="5"/>
      <c r="F3" s="5"/>
      <c r="G3" s="5"/>
      <c r="H3" s="5"/>
      <c r="I3" s="5"/>
    </row>
    <row r="4" customFormat="false" ht="15.75" hidden="false" customHeight="true" outlineLevel="0" collapsed="false">
      <c r="A4" s="4" t="s">
        <v>79</v>
      </c>
      <c r="B4" s="5" t="s">
        <v>286</v>
      </c>
      <c r="C4" s="5"/>
      <c r="D4" s="5"/>
      <c r="E4" s="5"/>
      <c r="F4" s="5"/>
      <c r="G4" s="5"/>
      <c r="H4" s="5"/>
      <c r="I4" s="5"/>
    </row>
    <row r="5" customFormat="false" ht="15.75" hidden="false" customHeight="true" outlineLevel="0" collapsed="false">
      <c r="A5" s="4" t="s">
        <v>151</v>
      </c>
      <c r="B5" s="5" t="s">
        <v>287</v>
      </c>
      <c r="C5" s="5"/>
      <c r="D5" s="5"/>
      <c r="E5" s="5"/>
      <c r="F5" s="5"/>
      <c r="G5" s="5"/>
      <c r="H5" s="5"/>
      <c r="I5" s="5"/>
    </row>
    <row r="6" customFormat="false" ht="15.75" hidden="false" customHeight="true" outlineLevel="0" collapsed="false">
      <c r="A6" s="4" t="s">
        <v>153</v>
      </c>
      <c r="B6" s="5" t="s">
        <v>288</v>
      </c>
      <c r="C6" s="5"/>
      <c r="D6" s="5"/>
      <c r="E6" s="5"/>
      <c r="F6" s="5"/>
      <c r="G6" s="5"/>
      <c r="H6" s="5"/>
      <c r="I6" s="5"/>
    </row>
    <row r="8" customFormat="false" ht="31.5" hidden="false" customHeight="true" outlineLevel="0" collapsed="false">
      <c r="A8" s="12" t="s">
        <v>187</v>
      </c>
      <c r="B8" s="12" t="s">
        <v>289</v>
      </c>
      <c r="C8" s="12" t="s">
        <v>290</v>
      </c>
      <c r="D8" s="12" t="s">
        <v>291</v>
      </c>
      <c r="E8" s="12" t="s">
        <v>292</v>
      </c>
      <c r="F8" s="12" t="s">
        <v>293</v>
      </c>
      <c r="G8" s="12" t="s">
        <v>294</v>
      </c>
      <c r="H8" s="12" t="s">
        <v>295</v>
      </c>
      <c r="I8" s="12" t="s">
        <v>39</v>
      </c>
    </row>
    <row r="9" customFormat="false" ht="15" hidden="false" customHeight="false" outlineLevel="0" collapsed="false">
      <c r="A9" s="16" t="s">
        <v>196</v>
      </c>
      <c r="B9" s="20" t="n">
        <v>46099</v>
      </c>
      <c r="C9" s="16" t="s">
        <v>296</v>
      </c>
      <c r="D9" s="16" t="s">
        <v>198</v>
      </c>
      <c r="E9" s="16" t="s">
        <v>198</v>
      </c>
      <c r="F9" s="23" t="n">
        <v>4</v>
      </c>
      <c r="G9" s="23" t="n">
        <v>2.7</v>
      </c>
      <c r="H9" s="19" t="str">
        <f aca="false">IF(G9&lt;=F9,"Yes","No")</f>
        <v>Yes</v>
      </c>
      <c r="I9" s="19" t="str">
        <f aca="false">IF(AND(D9="Yes",E9="Yes",H9="Yes"),"Pass","Exception")</f>
        <v>Pass</v>
      </c>
    </row>
    <row r="10" customFormat="false" ht="15" hidden="false" customHeight="false" outlineLevel="0" collapsed="false">
      <c r="A10" s="16" t="s">
        <v>199</v>
      </c>
      <c r="B10" s="20" t="n">
        <v>46190</v>
      </c>
      <c r="C10" s="16" t="s">
        <v>296</v>
      </c>
      <c r="D10" s="16" t="s">
        <v>198</v>
      </c>
      <c r="E10" s="16" t="s">
        <v>198</v>
      </c>
      <c r="F10" s="23" t="n">
        <v>4</v>
      </c>
      <c r="G10" s="23" t="n">
        <v>3.1</v>
      </c>
      <c r="H10" s="19" t="str">
        <f aca="false">IF(G10&lt;=F10,"Yes","No")</f>
        <v>Yes</v>
      </c>
      <c r="I10" s="19" t="str">
        <f aca="false">IF(AND(D10="Yes",E10="Yes",H10="Yes"),"Pass","Exception")</f>
        <v>Pass</v>
      </c>
    </row>
  </sheetData>
  <mergeCells count="4">
    <mergeCell ref="B3:I3"/>
    <mergeCell ref="B4:I4"/>
    <mergeCell ref="B5:I5"/>
    <mergeCell ref="B6:I6"/>
  </mergeCells>
  <conditionalFormatting sqref="I9:I10">
    <cfRule type="cellIs" priority="2" operator="equal" aboveAverage="0" equalAverage="0" bottom="0" percent="0" rank="0" text="" dxfId="0">
      <formula>"Pass"</formula>
    </cfRule>
    <cfRule type="cellIs" priority="3" operator="equal" aboveAverage="0" equalAverage="0" bottom="0" percent="0" rank="0" text="" dxfId="1">
      <formula>"Exception"</formula>
    </cfRule>
    <cfRule type="cellIs" priority="4" operator="equal" aboveAverage="0" equalAverage="0" bottom="0" percent="0" rank="0" text="" dxfId="0">
      <formula>"Effective"</formula>
    </cfRule>
    <cfRule type="cellIs" priority="5" operator="equal" aboveAverage="0" equalAverage="0" bottom="0" percent="0" rank="0" text="" dxfId="1">
      <formula>"Exception noted"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
    <col collapsed="false" customWidth="true" hidden="false" outlineLevel="0" max="3" min="3" style="1" width="30"/>
    <col collapsed="false" customWidth="true" hidden="false" outlineLevel="0" max="4" min="4" style="1" width="28"/>
    <col collapsed="false" customWidth="true" hidden="false" outlineLevel="0" max="6" min="5" style="1" width="26"/>
    <col collapsed="false" customWidth="true" hidden="false" outlineLevel="0" max="7" min="7" style="1" width="9"/>
    <col collapsed="false" customWidth="true" hidden="false" outlineLevel="0" max="9" min="8" style="1" width="30"/>
    <col collapsed="false" customWidth="true" hidden="false" outlineLevel="0" max="10" min="10" style="1" width="16"/>
    <col collapsed="false" customWidth="true" hidden="false" outlineLevel="0" max="11" min="11" style="1" width="12"/>
  </cols>
  <sheetData>
    <row r="1" customFormat="false" ht="17.35" hidden="false" customHeight="false" outlineLevel="0" collapsed="false">
      <c r="A1" s="2" t="s">
        <v>297</v>
      </c>
    </row>
    <row r="2" customFormat="false" ht="15" hidden="false" customHeight="false" outlineLevel="0" collapsed="false">
      <c r="A2" s="3" t="s">
        <v>298</v>
      </c>
    </row>
    <row r="4" customFormat="false" ht="31.5" hidden="false" customHeight="true" outlineLevel="0" collapsed="false">
      <c r="A4" s="12" t="s">
        <v>299</v>
      </c>
      <c r="B4" s="12" t="s">
        <v>148</v>
      </c>
      <c r="C4" s="12" t="s">
        <v>300</v>
      </c>
      <c r="D4" s="12" t="s">
        <v>301</v>
      </c>
      <c r="E4" s="12" t="s">
        <v>302</v>
      </c>
      <c r="F4" s="12" t="s">
        <v>303</v>
      </c>
      <c r="G4" s="12" t="s">
        <v>304</v>
      </c>
      <c r="H4" s="12" t="s">
        <v>305</v>
      </c>
      <c r="I4" s="12" t="s">
        <v>306</v>
      </c>
      <c r="J4" s="12" t="s">
        <v>75</v>
      </c>
      <c r="K4" s="12" t="s">
        <v>307</v>
      </c>
    </row>
    <row r="5" customFormat="false" ht="32.8" hidden="false" customHeight="false" outlineLevel="0" collapsed="false">
      <c r="A5" s="16" t="s">
        <v>308</v>
      </c>
      <c r="B5" s="16" t="s">
        <v>83</v>
      </c>
      <c r="C5" s="16" t="s">
        <v>309</v>
      </c>
      <c r="D5" s="16" t="s">
        <v>310</v>
      </c>
      <c r="E5" s="16" t="s">
        <v>311</v>
      </c>
      <c r="F5" s="16" t="s">
        <v>312</v>
      </c>
      <c r="G5" s="16" t="s">
        <v>313</v>
      </c>
      <c r="H5" s="16" t="s">
        <v>314</v>
      </c>
      <c r="I5" s="16" t="s">
        <v>315</v>
      </c>
      <c r="J5" s="16" t="s">
        <v>87</v>
      </c>
      <c r="K5" s="20" t="n">
        <v>46326</v>
      </c>
    </row>
    <row r="6" customFormat="false" ht="43.25" hidden="false" customHeight="false" outlineLevel="0" collapsed="false">
      <c r="A6" s="16" t="s">
        <v>316</v>
      </c>
      <c r="B6" s="16" t="s">
        <v>99</v>
      </c>
      <c r="C6" s="16" t="s">
        <v>317</v>
      </c>
      <c r="D6" s="16" t="s">
        <v>318</v>
      </c>
      <c r="E6" s="16" t="s">
        <v>319</v>
      </c>
      <c r="F6" s="16" t="s">
        <v>320</v>
      </c>
      <c r="G6" s="16" t="s">
        <v>313</v>
      </c>
      <c r="H6" s="16" t="s">
        <v>321</v>
      </c>
      <c r="I6" s="16" t="s">
        <v>322</v>
      </c>
      <c r="J6" s="16" t="s">
        <v>103</v>
      </c>
      <c r="K6" s="20" t="n">
        <v>46295</v>
      </c>
    </row>
    <row r="8" customFormat="false" ht="30" hidden="false" customHeight="true" outlineLevel="0" collapsed="false">
      <c r="A8" s="4" t="s">
        <v>323</v>
      </c>
      <c r="B8" s="5" t="s">
        <v>324</v>
      </c>
      <c r="C8" s="5"/>
      <c r="D8" s="5"/>
      <c r="E8" s="5"/>
      <c r="F8" s="5"/>
      <c r="G8" s="5"/>
      <c r="H8" s="5"/>
      <c r="I8" s="5"/>
    </row>
  </sheetData>
  <mergeCells count="1">
    <mergeCell ref="B8:I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38"/>
    <col collapsed="false" customWidth="true" hidden="false" outlineLevel="0" max="4" min="4" style="1" width="20"/>
    <col collapsed="false" customWidth="true" hidden="false" outlineLevel="0" max="5" min="5" style="1" width="34"/>
  </cols>
  <sheetData>
    <row r="1" customFormat="false" ht="17.35" hidden="false" customHeight="false" outlineLevel="0" collapsed="false">
      <c r="A1" s="2" t="s">
        <v>25</v>
      </c>
    </row>
    <row r="2" customFormat="false" ht="15" hidden="false" customHeight="false" outlineLevel="0" collapsed="false">
      <c r="A2" s="3" t="s">
        <v>325</v>
      </c>
    </row>
    <row r="4" customFormat="false" ht="31.5" hidden="false" customHeight="true" outlineLevel="0" collapsed="false">
      <c r="A4" s="12" t="s">
        <v>148</v>
      </c>
      <c r="B4" s="12" t="s">
        <v>326</v>
      </c>
      <c r="C4" s="12" t="s">
        <v>327</v>
      </c>
      <c r="D4" s="12" t="s">
        <v>328</v>
      </c>
      <c r="E4" s="12" t="s">
        <v>329</v>
      </c>
    </row>
    <row r="5" customFormat="false" ht="22.35" hidden="false" customHeight="false" outlineLevel="0" collapsed="false">
      <c r="A5" s="16" t="s">
        <v>330</v>
      </c>
      <c r="B5" s="16" t="s">
        <v>331</v>
      </c>
      <c r="C5" s="16" t="s">
        <v>332</v>
      </c>
      <c r="D5" s="16" t="s">
        <v>333</v>
      </c>
      <c r="E5" s="16" t="s">
        <v>334</v>
      </c>
    </row>
    <row r="6" customFormat="false" ht="32.8" hidden="false" customHeight="false" outlineLevel="0" collapsed="false">
      <c r="A6" s="16" t="s">
        <v>335</v>
      </c>
      <c r="B6" s="16" t="s">
        <v>336</v>
      </c>
      <c r="C6" s="16" t="s">
        <v>337</v>
      </c>
      <c r="D6" s="16" t="s">
        <v>333</v>
      </c>
      <c r="E6" s="16" t="s">
        <v>338</v>
      </c>
    </row>
    <row r="7" customFormat="false" ht="22.35" hidden="false" customHeight="false" outlineLevel="0" collapsed="false">
      <c r="A7" s="16" t="s">
        <v>339</v>
      </c>
      <c r="B7" s="16" t="s">
        <v>340</v>
      </c>
      <c r="C7" s="16" t="s">
        <v>341</v>
      </c>
      <c r="D7" s="16" t="s">
        <v>342</v>
      </c>
      <c r="E7" s="16" t="s">
        <v>343</v>
      </c>
    </row>
    <row r="8" customFormat="false" ht="22.35" hidden="false" customHeight="false" outlineLevel="0" collapsed="false">
      <c r="A8" s="16" t="s">
        <v>344</v>
      </c>
      <c r="B8" s="16" t="s">
        <v>345</v>
      </c>
      <c r="C8" s="16" t="s">
        <v>346</v>
      </c>
      <c r="D8" s="16" t="s">
        <v>342</v>
      </c>
      <c r="E8" s="16" t="s">
        <v>347</v>
      </c>
    </row>
    <row r="9" customFormat="false" ht="22.35" hidden="false" customHeight="false" outlineLevel="0" collapsed="false">
      <c r="A9" s="16" t="s">
        <v>348</v>
      </c>
      <c r="B9" s="16" t="s">
        <v>349</v>
      </c>
      <c r="C9" s="16" t="s">
        <v>350</v>
      </c>
      <c r="D9" s="16" t="s">
        <v>351</v>
      </c>
      <c r="E9" s="16" t="s">
        <v>352</v>
      </c>
    </row>
    <row r="10" customFormat="false" ht="22.35" hidden="false" customHeight="false" outlineLevel="0" collapsed="false">
      <c r="A10" s="16" t="s">
        <v>353</v>
      </c>
      <c r="B10" s="16" t="s">
        <v>354</v>
      </c>
      <c r="C10" s="16" t="s">
        <v>355</v>
      </c>
      <c r="D10" s="16" t="s">
        <v>356</v>
      </c>
      <c r="E10" s="16" t="s">
        <v>357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2026-09-17T11:36:50Z</dcterms:created>
  <dc:creator>openpyxl</dc:creator>
  <dc:description/>
  <dc:language>en-US</dc:language>
  <cp:lastModifiedBy/>
  <dcterms:modified xsi:type="dcterms:W3CDTF">2026-09-17T11:36:50Z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