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6a3e7baeffcee0/Desktop/Project - 3 NIS2 Gap Assessment for a fictional Irish SME/"/>
    </mc:Choice>
  </mc:AlternateContent>
  <xr:revisionPtr revIDLastSave="0" documentId="8_{D7833141-BB76-47ED-AF21-8DB8A454D84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1. Gap Analysis" sheetId="1" r:id="rId1"/>
    <sheet name="2. Priority Summary" sheetId="2" r:id="rId2"/>
  </sheets>
  <definedNames>
    <definedName name="_xlnm._FilterDatabase" localSheetId="0" hidden="1">'1. Gap Analysis'!$A$4:$H$52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B8" i="2"/>
  <c r="C8" i="2" s="1"/>
  <c r="B7" i="2"/>
  <c r="C7" i="2" s="1"/>
  <c r="B6" i="2"/>
  <c r="C6" i="2" s="1"/>
</calcChain>
</file>

<file path=xl/sharedStrings.xml><?xml version="1.0" encoding="utf-8"?>
<sst xmlns="http://schemas.openxmlformats.org/spreadsheetml/2006/main" count="424" uniqueCount="325">
  <si>
    <t>Gap Analysis Document — HealthNet Ireland Ltd</t>
  </si>
  <si>
    <t>All 48 requirements rated below Level 3 in the Current State Assessment (Task 3) — the 3 requirements at Level 3+ are excluded as they are not gaps by this document's definition</t>
  </si>
  <si>
    <t>Ref</t>
  </si>
  <si>
    <t>Domain</t>
  </si>
  <si>
    <t>Requirement</t>
  </si>
  <si>
    <t>Current State</t>
  </si>
  <si>
    <t>Target State</t>
  </si>
  <si>
    <t>Gap Description</t>
  </si>
  <si>
    <t>Risk if Unaddressed</t>
  </si>
  <si>
    <t>Priority</t>
  </si>
  <si>
    <t>GOV-01</t>
  </si>
  <si>
    <t>Governance &amp; Accountability</t>
  </si>
  <si>
    <t>Management board formally approves the cybersecurity risk-management measures.</t>
  </si>
  <si>
    <t>Cybersecurity is delegated entirely to the IT Manager; the board has never formally approved the risk-management measures or recorded such approval in minutes.</t>
  </si>
  <si>
    <t>The board formally reviews and approves the cybersecurity risk-management measures at least annually, with approval recorded in board minutes.</t>
  </si>
  <si>
    <t>No board-level approval has ever taken place — the entire risk programme has no governance sign-off, leaving cyber treated as an IT-only matter.</t>
  </si>
  <si>
    <t>Direct breach of Art. 20(1); under the draft Irish National Cyber Security Bill, individual directors could face personal liability for failing to approve these measures.</t>
  </si>
  <si>
    <t>High</t>
  </si>
  <si>
    <t>GOV-02</t>
  </si>
  <si>
    <t>Management board oversees implementation of the measures and can be held accountable.</t>
  </si>
  <si>
    <t>Quarterly IT report to the board covers uptime and budget only; no cyber risk KPIs or oversight mechanism.</t>
  </si>
  <si>
    <t>The board receives a standing quarterly cyber risk report (incidents, top risks, training, patching status) and formally discusses it.</t>
  </si>
  <si>
    <t>Cyber risk has no visibility at board level; oversight is entirely absent, so accountability cannot be demonstrated.</t>
  </si>
  <si>
    <t>Breach of the Art. 20(1) oversight duty; regulators specifically look for evidence of board engagement — its absence is a common first-line audit finding.</t>
  </si>
  <si>
    <t>GOV-03</t>
  </si>
  <si>
    <t>Members of the management board follow cybersecurity training.</t>
  </si>
  <si>
    <t>CEO attended one NCSC webinar in 2025; no structured board training programme.</t>
  </si>
  <si>
    <t>All board members complete an annual, structured cybersecurity training programme appropriate to their oversight role, with attendance recorded.</t>
  </si>
  <si>
    <t>Training is ad hoc and covers only the CEO; other board members have received none, and nothing is tracked.</t>
  </si>
  <si>
    <t>Partial breach of Art. 20(2); weakens the board's ability to meaningfully discharge its Art. 20(1) oversight duty.</t>
  </si>
  <si>
    <t>Medium</t>
  </si>
  <si>
    <t>GOV-04</t>
  </si>
  <si>
    <t>Equivalent training is offered to employees on a regular basis.</t>
  </si>
  <si>
    <t>Annual security e-learning assigned to all staff; 78% completion rate, no follow-up for non-completers.</t>
  </si>
  <si>
    <t>Annual training is assigned and tracked to full completion, with escalation for non-completers and role-specific modules for higher-risk staff.</t>
  </si>
  <si>
    <t>A programme exists but isn't enforced — 22% of staff have effectively received no training this cycle, with no consequence.</t>
  </si>
  <si>
    <t>Partial breach of Art. 20(2)/21(2)(g); untrained staff are the most common initial entry point for attackers (phishing).</t>
  </si>
  <si>
    <t>RSK-01</t>
  </si>
  <si>
    <t>Risk Analysis &amp; Policies</t>
  </si>
  <si>
    <t>A documented information security policy exists, approved by management.</t>
  </si>
  <si>
    <t>Information Security Policy v2.1 exists, signed by the CEO in 2024, but not reviewed since.</t>
  </si>
  <si>
    <t>The policy is reviewed and re-approved at least annually, with version history and review dates maintained.</t>
  </si>
  <si>
    <t>The policy itself is fine, but the process to keep it current has lapsed — it's now overdue for review.</t>
  </si>
  <si>
    <t>Low immediate legal exposure since a policy exists, but a stale, unreviewed policy is a common minor audit finding.</t>
  </si>
  <si>
    <t>RSK-02</t>
  </si>
  <si>
    <t>A formal, repeatable risk assessment methodology is defined and applied.</t>
  </si>
  <si>
    <t>Risks discussed informally at IT team meetings; no methodology, criteria or risk register.</t>
  </si>
  <si>
    <t>A documented risk assessment methodology (e.g. ISO 27005-aligned scoring) is defined, approved, and applied at least annually.</t>
  </si>
  <si>
    <t>No methodology exists at all — every other Art. 21(2) measure must be 'proportionate' to assessed risk, but there is no assessed risk to be proportionate to.</t>
  </si>
  <si>
    <t>Direct breach of the foundational Art. 21(2)(a) requirement; likely the single most significant finding in the whole assessment, since it undermines every other control's justification.</t>
  </si>
  <si>
    <t>RSK-03</t>
  </si>
  <si>
    <t>A maintained risk register with owners, scores and treatment decisions exists.</t>
  </si>
  <si>
    <t>No risk register exists.</t>
  </si>
  <si>
    <t>A live risk register is maintained with each risk owned, scored, and carrying a documented treatment decision, reviewed quarterly.</t>
  </si>
  <si>
    <t>There is no artefact recording the organisation's risk position at all — nothing to show a regulator or auditor.</t>
  </si>
  <si>
    <t>Direct breach of Art. 21(2)(a); a missing risk register is one of the most immediately visible gaps to any external assessor.</t>
  </si>
  <si>
    <t>RSK-04</t>
  </si>
  <si>
    <t>An all-hazards approach is taken (physical, environmental and cyber threats considered).</t>
  </si>
  <si>
    <t>Assessments (informal) consider cyber threats only; physical security of the office server room never reviewed.</t>
  </si>
  <si>
    <t>Risk assessments explicitly cover physical and environmental hazards (server room access, fire, flood, power loss) alongside cyber threats.</t>
  </si>
  <si>
    <t>Physical/environmental risk is completely unconsidered, despite Art. 21(1) explicitly requiring an all-hazards view.</t>
  </si>
  <si>
    <t>Breach of the explicit all-hazards requirement in Art. 21(1); also a real operational blind spot.</t>
  </si>
  <si>
    <t>INC-01</t>
  </si>
  <si>
    <t>Incident Handling</t>
  </si>
  <si>
    <t>A documented incident response plan/procedure exists.</t>
  </si>
  <si>
    <t>No incident response plan or procedure of any kind; staff would improvise if an attack occurred.</t>
  </si>
  <si>
    <t>A documented IR plan exists covering severity classification, roles (incl. deputy), escalation paths, and playbooks for common scenarios.</t>
  </si>
  <si>
    <t>There is no plan whatsoever — no defined way to respond to an attack beyond ad hoc improvisation.</t>
  </si>
  <si>
    <t>Direct breach of Art. 21(2)(b); poor initial response dramatically increases damage and the difficulty of meeting the 24-hour reporting clock — a very likely finding after any real incident.</t>
  </si>
  <si>
    <t>INC-02</t>
  </si>
  <si>
    <t>Incidents are detected, logged and tracked through to resolution.</t>
  </si>
  <si>
    <t>Helpdesk tickets capture some incidents; no central security incident log; no SIEM.</t>
  </si>
  <si>
    <t>All security incidents are logged in a dedicated, central incident register and tracked through to resolution with timestamps.</t>
  </si>
  <si>
    <t>Detection and logging is fragmented across general IT tickets; there is no dedicated security incident visibility.</t>
  </si>
  <si>
    <t>Weakens Art. 21(2)(b) compliance; incidents may go unlogged, undermining the ability to meet reporting deadlines the organisation doesn't know have started.</t>
  </si>
  <si>
    <t>INC-03</t>
  </si>
  <si>
    <t>Roles and responsibilities during an incident are defined (incl. out-of-hours).</t>
  </si>
  <si>
    <t>IT Manager is the single point of contact; no deputy, no out-of-hours rota.</t>
  </si>
  <si>
    <t>Incident roles are documented (commander, deputy, comms lead) with a 24/7 on-call rota.</t>
  </si>
  <si>
    <t>A single named individual is the entire incident response capability, with no redundancy or out-of-hours cover.</t>
  </si>
  <si>
    <t>Single point of failure; if the IT Manager is unavailable, response could stall entirely — serious given hospitals depend on the platform 24/7.</t>
  </si>
  <si>
    <t>INC-04</t>
  </si>
  <si>
    <t>Incident response is tested (tabletop or simulation) at least annually.</t>
  </si>
  <si>
    <t>Never tested.</t>
  </si>
  <si>
    <t>At least one tabletop exercise is run annually simulating a realistic scenario, with findings fed back into the plan.</t>
  </si>
  <si>
    <t>The incident response capability has never been tested, so its real-world effectiveness is completely unknown.</t>
  </si>
  <si>
    <t>Untested plans commonly fail under real pressure; a standard finding in any formal audit or post-incident review.</t>
  </si>
  <si>
    <t>INC-05</t>
  </si>
  <si>
    <t>Post-incident reviews capture lessons learned and drive improvement.</t>
  </si>
  <si>
    <t>Major 2025 phishing incident closed with no PIR or corrective actions recorded.</t>
  </si>
  <si>
    <t>Every significant incident is followed by a documented post-incident review, with corrective actions tracked to closure.</t>
  </si>
  <si>
    <t>A real, significant incident has already occurred and generated no lessons-learned process — the same root cause could recur unaddressed.</t>
  </si>
  <si>
    <t>Breach of the continuous-improvement expectation tied to Art. 21(2)(f); repeat incidents from the same root cause are a classic, embarrassing audit finding.</t>
  </si>
  <si>
    <t>BCM-02</t>
  </si>
  <si>
    <t>Business Continuity &amp; Backup</t>
  </si>
  <si>
    <t>Backups follow good practice (offline/immutable copy; 3-2-1 principle) and restores are tested.</t>
  </si>
  <si>
    <t>Backups exist in two AWS regions under the same account/credentials; restore tested once in 2024.</t>
  </si>
  <si>
    <t>At least one backup copy is logically isolated from production credentials, and restores are tested on a defined schedule (e.g. quarterly).</t>
  </si>
  <si>
    <t>All backup copies are reachable via the same credentials that could compromise production — one credential compromise could destroy every copy simultaneously.</t>
  </si>
  <si>
    <t>High ransomware-recovery risk; also a relatively easy fix, making this a prominent 'why wasn't this fixed' finding after any ransomware incident.</t>
  </si>
  <si>
    <t>BCM-03</t>
  </si>
  <si>
    <t>A business continuity / disaster recovery plan exists with defined RTO/RPO.</t>
  </si>
  <si>
    <t>Draft DR plan from 2023 never finalised; no RTO/RPO agreed with the business or customers.</t>
  </si>
  <si>
    <t>An approved BC/DR plan exists with RTO/RPO defined and agreed with the business, reflected in customer SLAs.</t>
  </si>
  <si>
    <t>An abandoned draft is the closest thing to a plan; there are no agreed recovery objectives for a platform hospitals depend on.</t>
  </si>
  <si>
    <t>Direct breach of Art. 21(2)(c); in a prolonged outage, no shared understanding of acceptable downtime exists — a major likely audit and contractual finding.</t>
  </si>
  <si>
    <t>BCM-04</t>
  </si>
  <si>
    <t>Crisis management arrangements exist (roles, communications, decision authority).</t>
  </si>
  <si>
    <t>None.</t>
  </si>
  <si>
    <t>A crisis management team and charter exist, defining decision authority, communications, and escalation to the board during a major incident.</t>
  </si>
  <si>
    <t>No structure exists above technical incident response — no one has decision authority during a genuine crisis.</t>
  </si>
  <si>
    <t>Breach of Art. 21(2)(c); during a severe incident, decisions would be made without any agreed process.</t>
  </si>
  <si>
    <t>BCM-05</t>
  </si>
  <si>
    <t>BC/DR arrangements are tested periodically.</t>
  </si>
  <si>
    <t>Failover/DR arrangements are tested at least annually in a controlled exercise, with results reported to the board.</t>
  </si>
  <si>
    <t>Recovery capability is entirely unproven — the second AWS region has never actually been exercised.</t>
  </si>
  <si>
    <t>An untested DR capability commonly fails when actually needed; a standard, easily identified audit finding.</t>
  </si>
  <si>
    <t>SCM-01</t>
  </si>
  <si>
    <t>Supply Chain Security</t>
  </si>
  <si>
    <t>Critical suppliers and service providers are identified and inventoried.</t>
  </si>
  <si>
    <t>Finance holds a vendor list for invoicing; no criticality assessment.</t>
  </si>
  <si>
    <t>A supplier inventory exists, risk-ranked by criticality, distinguishing suppliers with access to sensitive systems/data.</t>
  </si>
  <si>
    <t>A vendor list exists for accounting purposes only; there is no view of which suppliers actually matter from a security perspective.</t>
  </si>
  <si>
    <t>Undermines Art. 21(2)(d) compliance; without knowing which suppliers are critical, effort can't be prioritised.</t>
  </si>
  <si>
    <t>SCM-02</t>
  </si>
  <si>
    <t>Security requirements are addressed in supplier contracts (incl. incident notification clauses).</t>
  </si>
  <si>
    <t>Standard contracts contain confidentiality clauses only; no security schedules, audit rights or breach notification SLAs.</t>
  </si>
  <si>
    <t>All critical supplier contracts include a security schedule, audit rights, and a 24-hour supplier incident notification obligation.</t>
  </si>
  <si>
    <t>No supplier is contractually obligated to tell HealthNet about their own breaches — HealthNet's own 24-hour clock could be running unknown to them.</t>
  </si>
  <si>
    <t>Direct breach of Art. 21(2)(d); a supplier-side incident could cause HealthNet to miss its own legal reporting deadline through no direct fault of its own.</t>
  </si>
  <si>
    <t>SCM-03</t>
  </si>
  <si>
    <t>Supplier security is assessed before onboarding and periodically thereafter (TPRM).</t>
  </si>
  <si>
    <t>No due-diligence questionnaire or review process.</t>
  </si>
  <si>
    <t>A standard security due-diligence questionnaire is used before onboarding any critical supplier, with periodic re-assessment.</t>
  </si>
  <si>
    <t>Suppliers are onboarded with zero security vetting of any kind.</t>
  </si>
  <si>
    <t>Breach of Art. 21(2)(d); increases the likelihood of unknowingly inheriting a supplier's vulnerabilities.</t>
  </si>
  <si>
    <t>SCM-04</t>
  </si>
  <si>
    <t>Vulnerabilities specific to individual suppliers and overall supply-chain quality are considered in risk assessments.</t>
  </si>
  <si>
    <t>Not considered (no risk assessment process exists — see RSK-02).</t>
  </si>
  <si>
    <t>Supply-chain risk (incl. the 3 critical software suppliers) is explicitly assessed once RSK-02/RSK-03 are remediated.</t>
  </si>
  <si>
    <t>This can't be fixed independently of RSK-02 — there's no risk process for supply-chain risk to be entered into.</t>
  </si>
  <si>
    <t>Breach of Art. 21(2)(d); compounds the foundational RSK-02 gap.</t>
  </si>
  <si>
    <t>SDA-01</t>
  </si>
  <si>
    <t>Secure Development &amp; Vulnerability Handling</t>
  </si>
  <si>
    <t>Security requirements are defined for acquisition and development of systems.</t>
  </si>
  <si>
    <t>Developers follow informal peer review; no secure coding standard or security requirements in the SDLC.</t>
  </si>
  <si>
    <t>A secure development standard (e.g. OWASP-aligned) is adopted, with security requirements built into the SDLC via mandatory review gates.</t>
  </si>
  <si>
    <t>Peer review happens, but with no written standard, security depends on individual developer knowledge rather than a defined process.</t>
  </si>
  <si>
    <t>Weakens Art. 21(2)(e); increases the likelihood of shipping vulnerable code into a platform handling patient data.</t>
  </si>
  <si>
    <t>SDA-02</t>
  </si>
  <si>
    <t>Vulnerability management: systems are scanned and patched within defined timescales.</t>
  </si>
  <si>
    <t>Monthly OS patching via AWS SSM; no authenticated vulnerability scanning of the application or infrastructure.</t>
  </si>
  <si>
    <t>Authenticated vulnerability scanning runs on a regular schedule, with CVSS-based remediation SLAs (e.g. Critical 7 days, High 30 days).</t>
  </si>
  <si>
    <t>Patching happens but nobody is actively looking for vulnerabilities — unknown exposure could exist undetected for a long time.</t>
  </si>
  <si>
    <t>Breach of Art. 21(2)(e); undetected vulnerabilities are a leading cause of breaches and a very likely audit or pentest finding.</t>
  </si>
  <si>
    <t>SDA-03</t>
  </si>
  <si>
    <t>A coordinated vulnerability disclosure process exists (external researchers can report).</t>
  </si>
  <si>
    <t>No security.txt, no disclosure policy, no published contact.</t>
  </si>
  <si>
    <t>A coordinated vulnerability disclosure policy is published (e.g. security.txt) with a designated contact for external researchers.</t>
  </si>
  <si>
    <t>No channel exists for outside researchers to report issues responsibly, so vulnerabilities may go unreported or be disclosed publicly instead.</t>
  </si>
  <si>
    <t>Breach of the Art. 21(2)(e) CVD expectation; low immediate legal risk, but an increasingly expected practice referenced in NCSC guidance.</t>
  </si>
  <si>
    <t>Low</t>
  </si>
  <si>
    <t>SDA-04</t>
  </si>
  <si>
    <t>Penetration testing of the platform is performed periodically.</t>
  </si>
  <si>
    <t>One customer-mandated pentest in 2024; criticals fixed, mediums still open.</t>
  </si>
  <si>
    <t>An independent penetration test is scheduled at least annually, with all findings — including mediums — tracked to closure within agreed SLAs.</t>
  </si>
  <si>
    <t>Testing is reactive rather than scheduled, and known medium-severity findings have sat open for over 18 months.</t>
  </si>
  <si>
    <t>Open, known vulnerabilities left unremediated for 18+ months is a serious, very likely audit finding and a live exploitable risk.</t>
  </si>
  <si>
    <t>EFF-01</t>
  </si>
  <si>
    <t>Effectiveness Assessment</t>
  </si>
  <si>
    <t>Policies and procedures exist to assess the effectiveness of risk-management measures.</t>
  </si>
  <si>
    <t>None — no internal audit, no control testing, no KPIs.</t>
  </si>
  <si>
    <t>An annual internal control self-assessment (or internal audit) programme exists, testing whether implemented controls actually work.</t>
  </si>
  <si>
    <t>No mechanism exists to know whether any control in this assessment is functioning as intended.</t>
  </si>
  <si>
    <t>Direct breach of Art. 21(2)(f); without this, control failures can't be caught before a regulator or attacker does.</t>
  </si>
  <si>
    <t>EFF-02</t>
  </si>
  <si>
    <t>Results of effectiveness assessments are reported to management.</t>
  </si>
  <si>
    <t>N/A — no assessments performed.</t>
  </si>
  <si>
    <t>Results of control effectiveness reviews are formally reported to the board alongside the cyber risk report.</t>
  </si>
  <si>
    <t>Cannot be remediated independently of EFF-01 — there is nothing yet to report.</t>
  </si>
  <si>
    <t>Breach of Art. 21(2)(f)/Art. 20 reporting expectations; compounds the GOV-02 and EFF-01 gaps.</t>
  </si>
  <si>
    <t>EFF-03</t>
  </si>
  <si>
    <t>An improvement cycle exists (findings tracked to closure).</t>
  </si>
  <si>
    <t>No findings register or corrective action tracking.</t>
  </si>
  <si>
    <t>All findings (from audits, pentests, incidents, assessments) are logged in a single corrective action register and tracked to closure.</t>
  </si>
  <si>
    <t>Findings from any source — including this very gap analysis — currently have nowhere to live or be tracked.</t>
  </si>
  <si>
    <t>Without a tracking mechanism, even a well-intentioned remediation roadmap risks being forgotten; a likely finding given ISO 27001's emphasis on continual improvement.</t>
  </si>
  <si>
    <t>HYG-02</t>
  </si>
  <si>
    <t>Cyber Hygiene &amp; Training</t>
  </si>
  <si>
    <t>Security awareness training is delivered regularly to all staff.</t>
  </si>
  <si>
    <t>Annual e-learning (78% completion); no phishing simulations.</t>
  </si>
  <si>
    <t>Annual training reaches 100% completion (enforced), supplemented by periodic phishing simulations testing real behaviour.</t>
  </si>
  <si>
    <t>Same underlying issue as GOV-04, plus a complete absence of practical testing via simulated phishing.</t>
  </si>
  <si>
    <t>Breach of Art. 21(2)(g); phishing remains the most common attacker entry point, so untested awareness is a real operational risk, not just paperwork.</t>
  </si>
  <si>
    <t>HYG-03</t>
  </si>
  <si>
    <t>Role-specific training for privileged/technical staff.</t>
  </si>
  <si>
    <t>None — developers and admins receive the same generic module.</t>
  </si>
  <si>
    <t>Developers receive secure coding training (e.g. OWASP Top 10); administrators receive privileged-access-specific training.</t>
  </si>
  <si>
    <t>Higher-risk roles, with far greater access and impact potential, receive no training beyond the general staff baseline.</t>
  </si>
  <si>
    <t>Breach of Art. 21(2)(g)'s proportionate-training expectation; increases risk of privileged misuse or insecure code from the people with the most access.</t>
  </si>
  <si>
    <t>HYG-04</t>
  </si>
  <si>
    <t>Acceptable use and clean desk/screen policies are in place and communicated.</t>
  </si>
  <si>
    <t>AUP signed at onboarding; no re-attestation.</t>
  </si>
  <si>
    <t>Acceptable use policy is re-attested annually by all staff, alongside refreshed awareness of clean desk/screen practices.</t>
  </si>
  <si>
    <t>A one-time signature at hiring is the entire mechanism — policy awareness naturally decays over years of employment.</t>
  </si>
  <si>
    <t>Minor breach of Art. 21(2)(g) consistency expectations; low standalone risk, more a documentation/consistency gap.</t>
  </si>
  <si>
    <t>CRY-01</t>
  </si>
  <si>
    <t>Cryptography</t>
  </si>
  <si>
    <t>A cryptography policy defines where and how encryption is used.</t>
  </si>
  <si>
    <t>No policy; encryption decisions made ad hoc by engineers.</t>
  </si>
  <si>
    <t>A cryptography policy is documented, defining approved algorithms, key lengths, and where encryption is mandatory.</t>
  </si>
  <si>
    <t>The technical implementation is actually strong, but there's no governing policy behind it — an easy, low-effort fix.</t>
  </si>
  <si>
    <t>Breach of Art. 21(2)(h); low practical risk since the technology itself is sound, but a clear paper-trail gap an auditor would flag.</t>
  </si>
  <si>
    <t>CRY-03</t>
  </si>
  <si>
    <t>Cryptographic keys are managed securely through their lifecycle.</t>
  </si>
  <si>
    <t>AWS KMS used for platform keys; no key inventory or rotation schedule for application-level secrets; some secrets in code repos.</t>
  </si>
  <si>
    <t>All application secrets are stored in a secrets management tool with a defined rotation schedule; no secrets ever committed to source control.</t>
  </si>
  <si>
    <t>Platform-level keys are handled well via KMS, but application secrets are inconsistently managed, including hardcoded secrets in repositories.</t>
  </si>
  <si>
    <t>Hardcoded secrets in repos are a live, exploitable vulnerability — a definite audit/pentest finding and genuine breach vector.</t>
  </si>
  <si>
    <t>HRA-01</t>
  </si>
  <si>
    <t>HR, Access Control &amp; Assets</t>
  </si>
  <si>
    <t>Security responsibilities are addressed in HR processes (screening, joiner/mover/leaver).</t>
  </si>
  <si>
    <t>References checked at hiring; leaver access removal relies on manager emailing IT — two ex-employees found with active VPN accounts.</t>
  </si>
  <si>
    <t>A formal joiner-mover-leaver process exists with same-day access revocation triggered by HR offboarding, independent of a manager remembering to email IT.</t>
  </si>
  <si>
    <t>The leaver process is already failing in practice, evidenced by two real ex-employees retaining active VPN access — a live finding, not a theoretical one.</t>
  </si>
  <si>
    <t>Direct breach of Art. 21(2)(i); active orphaned accounts are an immediate, exploitable risk right now and a guaranteed audit finding if discovered externally.</t>
  </si>
  <si>
    <t>HRA-02</t>
  </si>
  <si>
    <t>Access is granted on least-privilege and role basis, with an approval workflow.</t>
  </si>
  <si>
    <t>Access granted on request via helpdesk; several developers hold production admin rights 'for convenience'.</t>
  </si>
  <si>
    <t>Access is granted via a defined RBAC model with a documented approval workflow; production admin rights restricted to those who genuinely need them.</t>
  </si>
  <si>
    <t>Standing excessive privilege exists across multiple developers with no formal justification beyond convenience.</t>
  </si>
  <si>
    <t>Breach of Art. 21(2)(i); excessive privileged access to systems holding patient data is a serious, high-visibility finding in a healthcare context.</t>
  </si>
  <si>
    <t>HRA-03</t>
  </si>
  <si>
    <t>Access rights are recertified periodically.</t>
  </si>
  <si>
    <t>Never performed.</t>
  </si>
  <si>
    <t>Access rights for production and privileged systems are recertified at least quarterly (annually for lower-risk systems).</t>
  </si>
  <si>
    <t>Nobody periodically checks whether existing access still makes sense.</t>
  </si>
  <si>
    <t>Compounds HRA-01/HRA-02; without recertification, access creep like the orphaned accounts already found will keep recurring.</t>
  </si>
  <si>
    <t>HRA-04</t>
  </si>
  <si>
    <t>An asset inventory of hardware, software and information assets is maintained.</t>
  </si>
  <si>
    <t>Laptop register in a spreadsheet (last updated 5 months ago); no software or information asset inventory.</t>
  </si>
  <si>
    <t>A maintained asset inventory covers hardware, software, and information assets, each with an owner and classification.</t>
  </si>
  <si>
    <t>Only a partial, stale hardware list exists; software and information assets (including where patient data actually lives) are entirely uninventoried.</t>
  </si>
  <si>
    <t>Breach of Art. 21(2)(i); you cannot protect what you don't know you have — a foundational gap undermining several other controls.</t>
  </si>
  <si>
    <t>HRA-05</t>
  </si>
  <si>
    <t>Assets are securely disposed of / wiped at end of life.</t>
  </si>
  <si>
    <t>Old laptops stored in a cupboard; no wipe or disposal procedure.</t>
  </si>
  <si>
    <t>A documented secure disposal procedure (certified wipe or destruction) is applied to all retired devices, with the existing backlog cleared.</t>
  </si>
  <si>
    <t>Retired devices, which may have held patient-related data, sit unsanitised in storage rather than being properly disposed of.</t>
  </si>
  <si>
    <t>Breach of Art. 21(2)(i); a real data-loss risk if devices are lost, stolen, or improperly discarded — also relevant to GDPR obligations.</t>
  </si>
  <si>
    <t>MFA-01</t>
  </si>
  <si>
    <t>Authentication &amp; Secure Comms</t>
  </si>
  <si>
    <t>Multi-factor authentication is enforced for remote access and privileged accounts.</t>
  </si>
  <si>
    <t>MFA enforced on Microsoft 365 and VPN; NOT enforced on the AWS console or the SaaS admin portal.</t>
  </si>
  <si>
    <t>MFA is enforced consistently across every privileged and remote-access interface, with no exceptions.</t>
  </si>
  <si>
    <t>The two most sensitive interfaces in the company — the cloud console and the platform admin portal — are exactly the ones left unprotected.</t>
  </si>
  <si>
    <t>Direct breach of Art. 21(2)(j); the single most attractive target for an attacker and the most glaring, easily-fixed gap in the whole assessment.</t>
  </si>
  <si>
    <t>MFA-02</t>
  </si>
  <si>
    <t>MFA or continuous authentication is applied for user access to critical applications.</t>
  </si>
  <si>
    <t>Customer-facing platform supports MFA but it is optional; 22% of hospital users have enabled it.</t>
  </si>
  <si>
    <t>MFA is enabled by default for all platform users, with an agreed enforced rollout plan communicated to hospital customers.</t>
  </si>
  <si>
    <t>MFA capability exists but adoption is left entirely to individual choice, leaving 78% of users accessing patient data unprotected.</t>
  </si>
  <si>
    <t>Breach of Art. 21(2)(j); low MFA adoption on a platform holding patient data is a significant risk to end users, not just HealthNet.</t>
  </si>
  <si>
    <t>MFA-03</t>
  </si>
  <si>
    <t>Voice, video and text communications are secured where appropriate.</t>
  </si>
  <si>
    <t>Teams (encrypted in transit) used internally; no policy on communicating incident details with customers securely.</t>
  </si>
  <si>
    <t>A policy defines approved channels for communicating sensitive information, including incident details, with customers and internally.</t>
  </si>
  <si>
    <t>Reliance on a tool's default encryption rather than a deliberate policy on what may be discussed where.</t>
  </si>
  <si>
    <t>Low current risk since the underlying tool is reasonably secure, but no policy means sensitive details could be shared over inappropriate channels under pressure.</t>
  </si>
  <si>
    <t>MFA-04</t>
  </si>
  <si>
    <t>Secured emergency communication systems exist for use during incidents.</t>
  </si>
  <si>
    <t>None — if M365 is compromised there is no out-of-band channel.</t>
  </si>
  <si>
    <t>An out-of-band emergency communication channel and a printed break-glass contact list exist for use if primary systems are compromised.</t>
  </si>
  <si>
    <t>If the very systems used to coordinate incident response are themselves compromised, there is no fallback way to communicate at all.</t>
  </si>
  <si>
    <t>Breach of Art. 21(2)(j); could severely delay incident response and regulatory reporting during exactly the scenario this is needed for.</t>
  </si>
  <si>
    <t>REP-01</t>
  </si>
  <si>
    <t>Incident Reporting</t>
  </si>
  <si>
    <t>Capability to submit an early warning to the CSIRT within 24 hours of a significant incident.</t>
  </si>
  <si>
    <t>No procedure, no template, no one aware of the obligation; CSIRT-IE contact details not recorded.</t>
  </si>
  <si>
    <t>A documented procedure, pre-drafted template, and recorded CSIRT-IE contact details exist, with on-call staff briefed on the 24-hour obligation.</t>
  </si>
  <si>
    <t>HealthNet currently has no operational way to meet this legal deadline — awareness of the obligation itself is missing.</t>
  </si>
  <si>
    <t>Direct breach of Art. 23(4)(a); missing the 24-hour early warning is one of the most concrete, easily-provable legal violations possible under NIS2.</t>
  </si>
  <si>
    <t>REP-02</t>
  </si>
  <si>
    <t>Capability to submit an incident notification within 72 hours (assessment of severity, impact, IoCs).</t>
  </si>
  <si>
    <t>No procedure; overlaps with, but is distinct from, GDPR Art. 33 breach notification which the DPO handles.</t>
  </si>
  <si>
    <t>A documented 72-hour notification procedure exists, distinct from but coordinated with the GDPR Art. 33 process.</t>
  </si>
  <si>
    <t>No dedicated NIS2 process exists; real risk that staff conflate this with GDPR reporting and miss the separate NIS2 deadline entirely.</t>
  </si>
  <si>
    <t>Direct breach of Art. 23(4)(b); confusing two parallel legal deadlines with different regulators is a realistic and serious compliance failure mode.</t>
  </si>
  <si>
    <t>REP-03</t>
  </si>
  <si>
    <t>Capability to produce a final report within 1 month (root cause, mitigation, cross-border impact).</t>
  </si>
  <si>
    <t>No PIR process exists (see INC-05), so no basis for a final report.</t>
  </si>
  <si>
    <t>A final incident report template and process exist, populated from the post-incident review once INC-05 is remediated.</t>
  </si>
  <si>
    <t>This can't be fixed independently of INC-05 — there is no root-cause process to draw the final report from.</t>
  </si>
  <si>
    <t>Breach of Art. 23(4)(d); compounds the INC-05 gap into a second, later-stage legal reporting failure.</t>
  </si>
  <si>
    <t>REP-04</t>
  </si>
  <si>
    <t>Criteria to determine whether an incident is 'significant' are defined and understood.</t>
  </si>
  <si>
    <t>No definition adopted; no thresholds mapped to the platform or customer impact.</t>
  </si>
  <si>
    <t>Clear, documented significance criteria exist (e.g. service unavailability &gt;1 hour to hospital customers, any confirmed data breach), understood by on-call staff.</t>
  </si>
  <si>
    <t>Without agreed thresholds, every incident triggers an ad-hoc legal debate under time pressure about whether the reporting clock has even started.</t>
  </si>
  <si>
    <t>Breach of Art. 23(1); ambiguity here directly threatens the ability to meet the 24-hour deadline, since the clock can't start if nobody agrees it's ticking.</t>
  </si>
  <si>
    <t>REG-01</t>
  </si>
  <si>
    <t>Registration &amp; Regulator Engagement</t>
  </si>
  <si>
    <t>Entity registration details prepared for submission to the competent authority.</t>
  </si>
  <si>
    <t>Not started; unaware of the registration obligation under the Irish framework.</t>
  </si>
  <si>
    <t>Registration details are prepared and ready for immediate submission once the Irish registration portal opens.</t>
  </si>
  <si>
    <t>HealthNet is not even aware this obligation exists, let alone prepared for it.</t>
  </si>
  <si>
    <t>Direct breach of the Art. 27/NCSB registration duty; a straightforward, easily-checked administrative failure and a near-certain audit finding.</t>
  </si>
  <si>
    <t>REG-02</t>
  </si>
  <si>
    <t>Monitoring of Irish transposition (National Cyber Security Bill) and NCSC guidance (RMM, CyFun).</t>
  </si>
  <si>
    <t>No one is assigned to track regulatory developments.</t>
  </si>
  <si>
    <t>A named owner monitors NCSC and legislative updates, reporting relevant changes to the board and updating the compliance programme accordingly.</t>
  </si>
  <si>
    <t>Nobody is watching for legal changes that directly affect HealthNet's obligations.</t>
  </si>
  <si>
    <t>Low immediate legal risk since this is a monitoring gap rather than a substantive control failure, but leaves HealthNet unprepared for imminent regulatory change.</t>
  </si>
  <si>
    <t>Priority Summary — HealthNet Ireland Ltd</t>
  </si>
  <si>
    <t>Live counts calculated from Sheet '1. Gap Analysis'</t>
  </si>
  <si>
    <t>GAPS BY PRIORITY</t>
  </si>
  <si>
    <t>Count</t>
  </si>
  <si>
    <t>% of Total</t>
  </si>
  <si>
    <t>What it means</t>
  </si>
  <si>
    <t>Legal penalty risk or likely audit finding — fix first.</t>
  </si>
  <si>
    <t>Real compliance gap, less immediate legal exposure.</t>
  </si>
  <si>
    <t>Maturity/documentation shortfall — lowest urgency.</t>
  </si>
  <si>
    <t>HIGH-PRIORITY GAPS BY DOMAIN</t>
  </si>
  <si>
    <t>Total Gaps</t>
  </si>
  <si>
    <t>High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</si>
</sst>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C55A11"/>
      <name val="Arial"/>
      <charset val="1"/>
    </font>
    <font>
      <b/>
      <sz val="10"/>
      <color rgb="FF375623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C7CE"/>
      </patternFill>
    </fill>
    <fill>
      <patternFill patternType="solid">
        <fgColor rgb="FFC6E0B4"/>
        <bgColor rgb="FFBFBFBF"/>
      </patternFill>
    </fill>
    <fill>
      <patternFill patternType="solid">
        <fgColor rgb="FF2F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6" borderId="0" xfId="0" applyFont="1" applyFill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vertical="center" wrapText="1" indent="1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 indent="1"/>
    </xf>
    <xf numFmtId="0" fontId="6" fillId="4" borderId="1" xfId="0" applyFont="1" applyFill="1" applyBorder="1" applyAlignment="1">
      <alignment vertical="center" wrapText="1" indent="1"/>
    </xf>
    <xf numFmtId="0" fontId="7" fillId="5" borderId="1" xfId="0" applyFont="1" applyFill="1" applyBorder="1" applyAlignment="1">
      <alignment vertical="center" wrapText="1" inden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B1"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9" customWidth="1"/>
    <col min="2" max="2" width="22" customWidth="1"/>
    <col min="3" max="3" width="36" customWidth="1"/>
    <col min="4" max="5" width="40" customWidth="1"/>
    <col min="6" max="6" width="42" customWidth="1"/>
    <col min="7" max="7" width="44" customWidth="1"/>
    <col min="8" max="8" width="10" customWidth="1"/>
  </cols>
  <sheetData>
    <row r="1" spans="1:8" ht="17.399999999999999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66" customHeight="1" x14ac:dyDescent="0.3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7" t="s">
        <v>17</v>
      </c>
    </row>
    <row r="6" spans="1:8" ht="66" customHeight="1" x14ac:dyDescent="0.3">
      <c r="A6" s="5" t="s">
        <v>18</v>
      </c>
      <c r="B6" s="6" t="s">
        <v>11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7" t="s">
        <v>17</v>
      </c>
    </row>
    <row r="7" spans="1:8" ht="66" customHeight="1" x14ac:dyDescent="0.3">
      <c r="A7" s="5" t="s">
        <v>24</v>
      </c>
      <c r="B7" s="6" t="s">
        <v>11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8" t="s">
        <v>30</v>
      </c>
    </row>
    <row r="8" spans="1:8" ht="66" customHeight="1" x14ac:dyDescent="0.3">
      <c r="A8" s="5" t="s">
        <v>31</v>
      </c>
      <c r="B8" s="6" t="s">
        <v>11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8" t="s">
        <v>30</v>
      </c>
    </row>
    <row r="9" spans="1:8" ht="51.75" customHeight="1" x14ac:dyDescent="0.3">
      <c r="A9" s="5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8" t="s">
        <v>30</v>
      </c>
    </row>
    <row r="10" spans="1:8" ht="79.5" customHeight="1" x14ac:dyDescent="0.3">
      <c r="A10" s="5" t="s">
        <v>44</v>
      </c>
      <c r="B10" s="6" t="s">
        <v>38</v>
      </c>
      <c r="C10" s="6" t="s">
        <v>45</v>
      </c>
      <c r="D10" s="6" t="s">
        <v>46</v>
      </c>
      <c r="E10" s="6" t="s">
        <v>47</v>
      </c>
      <c r="F10" s="6" t="s">
        <v>48</v>
      </c>
      <c r="G10" s="6" t="s">
        <v>49</v>
      </c>
      <c r="H10" s="7" t="s">
        <v>17</v>
      </c>
    </row>
    <row r="11" spans="1:8" ht="66" customHeight="1" x14ac:dyDescent="0.3">
      <c r="A11" s="5" t="s">
        <v>50</v>
      </c>
      <c r="B11" s="6" t="s">
        <v>38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  <c r="H11" s="7" t="s">
        <v>17</v>
      </c>
    </row>
    <row r="12" spans="1:8" ht="66" customHeight="1" x14ac:dyDescent="0.3">
      <c r="A12" s="5" t="s">
        <v>56</v>
      </c>
      <c r="B12" s="6" t="s">
        <v>38</v>
      </c>
      <c r="C12" s="6" t="s">
        <v>57</v>
      </c>
      <c r="D12" s="6" t="s">
        <v>58</v>
      </c>
      <c r="E12" s="6" t="s">
        <v>59</v>
      </c>
      <c r="F12" s="6" t="s">
        <v>60</v>
      </c>
      <c r="G12" s="6" t="s">
        <v>61</v>
      </c>
      <c r="H12" s="8" t="s">
        <v>30</v>
      </c>
    </row>
    <row r="13" spans="1:8" ht="79.5" customHeight="1" x14ac:dyDescent="0.3">
      <c r="A13" s="5" t="s">
        <v>62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  <c r="H13" s="7" t="s">
        <v>17</v>
      </c>
    </row>
    <row r="14" spans="1:8" ht="66" customHeight="1" x14ac:dyDescent="0.3">
      <c r="A14" s="5" t="s">
        <v>69</v>
      </c>
      <c r="B14" s="6" t="s">
        <v>63</v>
      </c>
      <c r="C14" s="6" t="s">
        <v>70</v>
      </c>
      <c r="D14" s="6" t="s">
        <v>71</v>
      </c>
      <c r="E14" s="6" t="s">
        <v>72</v>
      </c>
      <c r="F14" s="6" t="s">
        <v>73</v>
      </c>
      <c r="G14" s="6" t="s">
        <v>74</v>
      </c>
      <c r="H14" s="8" t="s">
        <v>30</v>
      </c>
    </row>
    <row r="15" spans="1:8" ht="66" customHeight="1" x14ac:dyDescent="0.3">
      <c r="A15" s="5" t="s">
        <v>75</v>
      </c>
      <c r="B15" s="6" t="s">
        <v>63</v>
      </c>
      <c r="C15" s="6" t="s">
        <v>76</v>
      </c>
      <c r="D15" s="6" t="s">
        <v>77</v>
      </c>
      <c r="E15" s="6" t="s">
        <v>78</v>
      </c>
      <c r="F15" s="6" t="s">
        <v>79</v>
      </c>
      <c r="G15" s="6" t="s">
        <v>80</v>
      </c>
      <c r="H15" s="8" t="s">
        <v>30</v>
      </c>
    </row>
    <row r="16" spans="1:8" ht="51.75" customHeight="1" x14ac:dyDescent="0.3">
      <c r="A16" s="5" t="s">
        <v>81</v>
      </c>
      <c r="B16" s="6" t="s">
        <v>63</v>
      </c>
      <c r="C16" s="6" t="s">
        <v>82</v>
      </c>
      <c r="D16" s="6" t="s">
        <v>83</v>
      </c>
      <c r="E16" s="6" t="s">
        <v>84</v>
      </c>
      <c r="F16" s="6" t="s">
        <v>85</v>
      </c>
      <c r="G16" s="6" t="s">
        <v>86</v>
      </c>
      <c r="H16" s="8" t="s">
        <v>30</v>
      </c>
    </row>
    <row r="17" spans="1:8" ht="66" customHeight="1" x14ac:dyDescent="0.3">
      <c r="A17" s="5" t="s">
        <v>87</v>
      </c>
      <c r="B17" s="6" t="s">
        <v>63</v>
      </c>
      <c r="C17" s="6" t="s">
        <v>88</v>
      </c>
      <c r="D17" s="6" t="s">
        <v>89</v>
      </c>
      <c r="E17" s="6" t="s">
        <v>90</v>
      </c>
      <c r="F17" s="6" t="s">
        <v>91</v>
      </c>
      <c r="G17" s="6" t="s">
        <v>92</v>
      </c>
      <c r="H17" s="8" t="s">
        <v>30</v>
      </c>
    </row>
    <row r="18" spans="1:8" ht="66" customHeight="1" x14ac:dyDescent="0.3">
      <c r="A18" s="5" t="s">
        <v>93</v>
      </c>
      <c r="B18" s="6" t="s">
        <v>94</v>
      </c>
      <c r="C18" s="6" t="s">
        <v>95</v>
      </c>
      <c r="D18" s="6" t="s">
        <v>96</v>
      </c>
      <c r="E18" s="6" t="s">
        <v>97</v>
      </c>
      <c r="F18" s="6" t="s">
        <v>98</v>
      </c>
      <c r="G18" s="6" t="s">
        <v>99</v>
      </c>
      <c r="H18" s="7" t="s">
        <v>17</v>
      </c>
    </row>
    <row r="19" spans="1:8" ht="66" customHeight="1" x14ac:dyDescent="0.3">
      <c r="A19" s="5" t="s">
        <v>100</v>
      </c>
      <c r="B19" s="6" t="s">
        <v>94</v>
      </c>
      <c r="C19" s="6" t="s">
        <v>101</v>
      </c>
      <c r="D19" s="6" t="s">
        <v>102</v>
      </c>
      <c r="E19" s="6" t="s">
        <v>103</v>
      </c>
      <c r="F19" s="6" t="s">
        <v>104</v>
      </c>
      <c r="G19" s="6" t="s">
        <v>105</v>
      </c>
      <c r="H19" s="7" t="s">
        <v>17</v>
      </c>
    </row>
    <row r="20" spans="1:8" ht="66" customHeight="1" x14ac:dyDescent="0.3">
      <c r="A20" s="5" t="s">
        <v>106</v>
      </c>
      <c r="B20" s="6" t="s">
        <v>94</v>
      </c>
      <c r="C20" s="6" t="s">
        <v>107</v>
      </c>
      <c r="D20" s="6" t="s">
        <v>108</v>
      </c>
      <c r="E20" s="6" t="s">
        <v>109</v>
      </c>
      <c r="F20" s="6" t="s">
        <v>110</v>
      </c>
      <c r="G20" s="6" t="s">
        <v>111</v>
      </c>
      <c r="H20" s="8" t="s">
        <v>30</v>
      </c>
    </row>
    <row r="21" spans="1:8" ht="51.75" customHeight="1" x14ac:dyDescent="0.3">
      <c r="A21" s="5" t="s">
        <v>112</v>
      </c>
      <c r="B21" s="6" t="s">
        <v>94</v>
      </c>
      <c r="C21" s="6" t="s">
        <v>113</v>
      </c>
      <c r="D21" s="6" t="s">
        <v>83</v>
      </c>
      <c r="E21" s="6" t="s">
        <v>114</v>
      </c>
      <c r="F21" s="6" t="s">
        <v>115</v>
      </c>
      <c r="G21" s="6" t="s">
        <v>116</v>
      </c>
      <c r="H21" s="8" t="s">
        <v>30</v>
      </c>
    </row>
    <row r="22" spans="1:8" ht="51.75" customHeight="1" x14ac:dyDescent="0.3">
      <c r="A22" s="5" t="s">
        <v>117</v>
      </c>
      <c r="B22" s="6" t="s">
        <v>118</v>
      </c>
      <c r="C22" s="6" t="s">
        <v>119</v>
      </c>
      <c r="D22" s="6" t="s">
        <v>120</v>
      </c>
      <c r="E22" s="6" t="s">
        <v>121</v>
      </c>
      <c r="F22" s="6" t="s">
        <v>122</v>
      </c>
      <c r="G22" s="6" t="s">
        <v>123</v>
      </c>
      <c r="H22" s="8" t="s">
        <v>30</v>
      </c>
    </row>
    <row r="23" spans="1:8" ht="66" customHeight="1" x14ac:dyDescent="0.3">
      <c r="A23" s="5" t="s">
        <v>124</v>
      </c>
      <c r="B23" s="6" t="s">
        <v>118</v>
      </c>
      <c r="C23" s="6" t="s">
        <v>125</v>
      </c>
      <c r="D23" s="6" t="s">
        <v>126</v>
      </c>
      <c r="E23" s="6" t="s">
        <v>127</v>
      </c>
      <c r="F23" s="6" t="s">
        <v>128</v>
      </c>
      <c r="G23" s="6" t="s">
        <v>129</v>
      </c>
      <c r="H23" s="7" t="s">
        <v>17</v>
      </c>
    </row>
    <row r="24" spans="1:8" ht="51.75" customHeight="1" x14ac:dyDescent="0.3">
      <c r="A24" s="5" t="s">
        <v>130</v>
      </c>
      <c r="B24" s="6" t="s">
        <v>118</v>
      </c>
      <c r="C24" s="6" t="s">
        <v>131</v>
      </c>
      <c r="D24" s="6" t="s">
        <v>132</v>
      </c>
      <c r="E24" s="6" t="s">
        <v>133</v>
      </c>
      <c r="F24" s="6" t="s">
        <v>134</v>
      </c>
      <c r="G24" s="6" t="s">
        <v>135</v>
      </c>
      <c r="H24" s="8" t="s">
        <v>30</v>
      </c>
    </row>
    <row r="25" spans="1:8" ht="66" customHeight="1" x14ac:dyDescent="0.3">
      <c r="A25" s="5" t="s">
        <v>136</v>
      </c>
      <c r="B25" s="6" t="s">
        <v>118</v>
      </c>
      <c r="C25" s="6" t="s">
        <v>137</v>
      </c>
      <c r="D25" s="6" t="s">
        <v>138</v>
      </c>
      <c r="E25" s="6" t="s">
        <v>139</v>
      </c>
      <c r="F25" s="6" t="s">
        <v>140</v>
      </c>
      <c r="G25" s="6" t="s">
        <v>141</v>
      </c>
      <c r="H25" s="8" t="s">
        <v>30</v>
      </c>
    </row>
    <row r="26" spans="1:8" ht="66" customHeight="1" x14ac:dyDescent="0.3">
      <c r="A26" s="5" t="s">
        <v>142</v>
      </c>
      <c r="B26" s="6" t="s">
        <v>143</v>
      </c>
      <c r="C26" s="6" t="s">
        <v>144</v>
      </c>
      <c r="D26" s="6" t="s">
        <v>145</v>
      </c>
      <c r="E26" s="6" t="s">
        <v>146</v>
      </c>
      <c r="F26" s="6" t="s">
        <v>147</v>
      </c>
      <c r="G26" s="6" t="s">
        <v>148</v>
      </c>
      <c r="H26" s="8" t="s">
        <v>30</v>
      </c>
    </row>
    <row r="27" spans="1:8" ht="66" customHeight="1" x14ac:dyDescent="0.3">
      <c r="A27" s="5" t="s">
        <v>149</v>
      </c>
      <c r="B27" s="6" t="s">
        <v>143</v>
      </c>
      <c r="C27" s="6" t="s">
        <v>150</v>
      </c>
      <c r="D27" s="6" t="s">
        <v>151</v>
      </c>
      <c r="E27" s="6" t="s">
        <v>152</v>
      </c>
      <c r="F27" s="6" t="s">
        <v>153</v>
      </c>
      <c r="G27" s="6" t="s">
        <v>154</v>
      </c>
      <c r="H27" s="8" t="s">
        <v>30</v>
      </c>
    </row>
    <row r="28" spans="1:8" ht="66" customHeight="1" x14ac:dyDescent="0.3">
      <c r="A28" s="5" t="s">
        <v>155</v>
      </c>
      <c r="B28" s="6" t="s">
        <v>143</v>
      </c>
      <c r="C28" s="6" t="s">
        <v>156</v>
      </c>
      <c r="D28" s="6" t="s">
        <v>157</v>
      </c>
      <c r="E28" s="6" t="s">
        <v>158</v>
      </c>
      <c r="F28" s="6" t="s">
        <v>159</v>
      </c>
      <c r="G28" s="6" t="s">
        <v>160</v>
      </c>
      <c r="H28" s="9" t="s">
        <v>161</v>
      </c>
    </row>
    <row r="29" spans="1:8" ht="66" customHeight="1" x14ac:dyDescent="0.3">
      <c r="A29" s="5" t="s">
        <v>162</v>
      </c>
      <c r="B29" s="6" t="s">
        <v>143</v>
      </c>
      <c r="C29" s="6" t="s">
        <v>163</v>
      </c>
      <c r="D29" s="6" t="s">
        <v>164</v>
      </c>
      <c r="E29" s="6" t="s">
        <v>165</v>
      </c>
      <c r="F29" s="6" t="s">
        <v>166</v>
      </c>
      <c r="G29" s="6" t="s">
        <v>167</v>
      </c>
      <c r="H29" s="8" t="s">
        <v>30</v>
      </c>
    </row>
    <row r="30" spans="1:8" ht="66" customHeight="1" x14ac:dyDescent="0.3">
      <c r="A30" s="5" t="s">
        <v>168</v>
      </c>
      <c r="B30" s="6" t="s">
        <v>169</v>
      </c>
      <c r="C30" s="6" t="s">
        <v>170</v>
      </c>
      <c r="D30" s="6" t="s">
        <v>171</v>
      </c>
      <c r="E30" s="6" t="s">
        <v>172</v>
      </c>
      <c r="F30" s="6" t="s">
        <v>173</v>
      </c>
      <c r="G30" s="6" t="s">
        <v>174</v>
      </c>
      <c r="H30" s="8" t="s">
        <v>30</v>
      </c>
    </row>
    <row r="31" spans="1:8" ht="51.75" customHeight="1" x14ac:dyDescent="0.3">
      <c r="A31" s="5" t="s">
        <v>175</v>
      </c>
      <c r="B31" s="6" t="s">
        <v>169</v>
      </c>
      <c r="C31" s="6" t="s">
        <v>176</v>
      </c>
      <c r="D31" s="6" t="s">
        <v>177</v>
      </c>
      <c r="E31" s="6" t="s">
        <v>178</v>
      </c>
      <c r="F31" s="6" t="s">
        <v>179</v>
      </c>
      <c r="G31" s="6" t="s">
        <v>180</v>
      </c>
      <c r="H31" s="8" t="s">
        <v>30</v>
      </c>
    </row>
    <row r="32" spans="1:8" ht="66" customHeight="1" x14ac:dyDescent="0.3">
      <c r="A32" s="5" t="s">
        <v>181</v>
      </c>
      <c r="B32" s="6" t="s">
        <v>169</v>
      </c>
      <c r="C32" s="6" t="s">
        <v>182</v>
      </c>
      <c r="D32" s="6" t="s">
        <v>183</v>
      </c>
      <c r="E32" s="6" t="s">
        <v>184</v>
      </c>
      <c r="F32" s="6" t="s">
        <v>185</v>
      </c>
      <c r="G32" s="6" t="s">
        <v>186</v>
      </c>
      <c r="H32" s="8" t="s">
        <v>30</v>
      </c>
    </row>
    <row r="33" spans="1:8" ht="66" customHeight="1" x14ac:dyDescent="0.3">
      <c r="A33" s="5" t="s">
        <v>187</v>
      </c>
      <c r="B33" s="6" t="s">
        <v>188</v>
      </c>
      <c r="C33" s="6" t="s">
        <v>189</v>
      </c>
      <c r="D33" s="6" t="s">
        <v>190</v>
      </c>
      <c r="E33" s="6" t="s">
        <v>191</v>
      </c>
      <c r="F33" s="6" t="s">
        <v>192</v>
      </c>
      <c r="G33" s="6" t="s">
        <v>193</v>
      </c>
      <c r="H33" s="8" t="s">
        <v>30</v>
      </c>
    </row>
    <row r="34" spans="1:8" ht="66" customHeight="1" x14ac:dyDescent="0.3">
      <c r="A34" s="5" t="s">
        <v>194</v>
      </c>
      <c r="B34" s="6" t="s">
        <v>188</v>
      </c>
      <c r="C34" s="6" t="s">
        <v>195</v>
      </c>
      <c r="D34" s="6" t="s">
        <v>196</v>
      </c>
      <c r="E34" s="6" t="s">
        <v>197</v>
      </c>
      <c r="F34" s="6" t="s">
        <v>198</v>
      </c>
      <c r="G34" s="6" t="s">
        <v>199</v>
      </c>
      <c r="H34" s="9" t="s">
        <v>161</v>
      </c>
    </row>
    <row r="35" spans="1:8" ht="51.75" customHeight="1" x14ac:dyDescent="0.3">
      <c r="A35" s="5" t="s">
        <v>200</v>
      </c>
      <c r="B35" s="6" t="s">
        <v>188</v>
      </c>
      <c r="C35" s="6" t="s">
        <v>201</v>
      </c>
      <c r="D35" s="6" t="s">
        <v>202</v>
      </c>
      <c r="E35" s="6" t="s">
        <v>203</v>
      </c>
      <c r="F35" s="6" t="s">
        <v>204</v>
      </c>
      <c r="G35" s="6" t="s">
        <v>205</v>
      </c>
      <c r="H35" s="9" t="s">
        <v>161</v>
      </c>
    </row>
    <row r="36" spans="1:8" ht="51.75" customHeight="1" x14ac:dyDescent="0.3">
      <c r="A36" s="5" t="s">
        <v>206</v>
      </c>
      <c r="B36" s="6" t="s">
        <v>207</v>
      </c>
      <c r="C36" s="6" t="s">
        <v>208</v>
      </c>
      <c r="D36" s="6" t="s">
        <v>209</v>
      </c>
      <c r="E36" s="6" t="s">
        <v>210</v>
      </c>
      <c r="F36" s="6" t="s">
        <v>211</v>
      </c>
      <c r="G36" s="6" t="s">
        <v>212</v>
      </c>
      <c r="H36" s="9" t="s">
        <v>161</v>
      </c>
    </row>
    <row r="37" spans="1:8" ht="66" customHeight="1" x14ac:dyDescent="0.3">
      <c r="A37" s="5" t="s">
        <v>213</v>
      </c>
      <c r="B37" s="6" t="s">
        <v>207</v>
      </c>
      <c r="C37" s="6" t="s">
        <v>214</v>
      </c>
      <c r="D37" s="6" t="s">
        <v>215</v>
      </c>
      <c r="E37" s="6" t="s">
        <v>216</v>
      </c>
      <c r="F37" s="6" t="s">
        <v>217</v>
      </c>
      <c r="G37" s="6" t="s">
        <v>218</v>
      </c>
      <c r="H37" s="7" t="s">
        <v>17</v>
      </c>
    </row>
    <row r="38" spans="1:8" ht="66" customHeight="1" x14ac:dyDescent="0.3">
      <c r="A38" s="5" t="s">
        <v>219</v>
      </c>
      <c r="B38" s="6" t="s">
        <v>220</v>
      </c>
      <c r="C38" s="6" t="s">
        <v>221</v>
      </c>
      <c r="D38" s="6" t="s">
        <v>222</v>
      </c>
      <c r="E38" s="6" t="s">
        <v>223</v>
      </c>
      <c r="F38" s="6" t="s">
        <v>224</v>
      </c>
      <c r="G38" s="6" t="s">
        <v>225</v>
      </c>
      <c r="H38" s="7" t="s">
        <v>17</v>
      </c>
    </row>
    <row r="39" spans="1:8" ht="66" customHeight="1" x14ac:dyDescent="0.3">
      <c r="A39" s="5" t="s">
        <v>226</v>
      </c>
      <c r="B39" s="6" t="s">
        <v>220</v>
      </c>
      <c r="C39" s="6" t="s">
        <v>227</v>
      </c>
      <c r="D39" s="6" t="s">
        <v>228</v>
      </c>
      <c r="E39" s="6" t="s">
        <v>229</v>
      </c>
      <c r="F39" s="6" t="s">
        <v>230</v>
      </c>
      <c r="G39" s="6" t="s">
        <v>231</v>
      </c>
      <c r="H39" s="7" t="s">
        <v>17</v>
      </c>
    </row>
    <row r="40" spans="1:8" ht="51.75" customHeight="1" x14ac:dyDescent="0.3">
      <c r="A40" s="5" t="s">
        <v>232</v>
      </c>
      <c r="B40" s="6" t="s">
        <v>220</v>
      </c>
      <c r="C40" s="6" t="s">
        <v>233</v>
      </c>
      <c r="D40" s="6" t="s">
        <v>234</v>
      </c>
      <c r="E40" s="6" t="s">
        <v>235</v>
      </c>
      <c r="F40" s="6" t="s">
        <v>236</v>
      </c>
      <c r="G40" s="6" t="s">
        <v>237</v>
      </c>
      <c r="H40" s="8" t="s">
        <v>30</v>
      </c>
    </row>
    <row r="41" spans="1:8" ht="66" customHeight="1" x14ac:dyDescent="0.3">
      <c r="A41" s="5" t="s">
        <v>238</v>
      </c>
      <c r="B41" s="6" t="s">
        <v>220</v>
      </c>
      <c r="C41" s="6" t="s">
        <v>239</v>
      </c>
      <c r="D41" s="6" t="s">
        <v>240</v>
      </c>
      <c r="E41" s="6" t="s">
        <v>241</v>
      </c>
      <c r="F41" s="6" t="s">
        <v>242</v>
      </c>
      <c r="G41" s="6" t="s">
        <v>243</v>
      </c>
      <c r="H41" s="8" t="s">
        <v>30</v>
      </c>
    </row>
    <row r="42" spans="1:8" ht="66" customHeight="1" x14ac:dyDescent="0.3">
      <c r="A42" s="5" t="s">
        <v>244</v>
      </c>
      <c r="B42" s="6" t="s">
        <v>220</v>
      </c>
      <c r="C42" s="6" t="s">
        <v>245</v>
      </c>
      <c r="D42" s="6" t="s">
        <v>246</v>
      </c>
      <c r="E42" s="6" t="s">
        <v>247</v>
      </c>
      <c r="F42" s="6" t="s">
        <v>248</v>
      </c>
      <c r="G42" s="6" t="s">
        <v>249</v>
      </c>
      <c r="H42" s="9" t="s">
        <v>161</v>
      </c>
    </row>
    <row r="43" spans="1:8" ht="66" customHeight="1" x14ac:dyDescent="0.3">
      <c r="A43" s="5" t="s">
        <v>250</v>
      </c>
      <c r="B43" s="6" t="s">
        <v>251</v>
      </c>
      <c r="C43" s="6" t="s">
        <v>252</v>
      </c>
      <c r="D43" s="6" t="s">
        <v>253</v>
      </c>
      <c r="E43" s="6" t="s">
        <v>254</v>
      </c>
      <c r="F43" s="6" t="s">
        <v>255</v>
      </c>
      <c r="G43" s="6" t="s">
        <v>256</v>
      </c>
      <c r="H43" s="7" t="s">
        <v>17</v>
      </c>
    </row>
    <row r="44" spans="1:8" ht="51.75" customHeight="1" x14ac:dyDescent="0.3">
      <c r="A44" s="5" t="s">
        <v>257</v>
      </c>
      <c r="B44" s="6" t="s">
        <v>251</v>
      </c>
      <c r="C44" s="6" t="s">
        <v>258</v>
      </c>
      <c r="D44" s="6" t="s">
        <v>259</v>
      </c>
      <c r="E44" s="6" t="s">
        <v>260</v>
      </c>
      <c r="F44" s="6" t="s">
        <v>261</v>
      </c>
      <c r="G44" s="6" t="s">
        <v>262</v>
      </c>
      <c r="H44" s="8" t="s">
        <v>30</v>
      </c>
    </row>
    <row r="45" spans="1:8" ht="66" customHeight="1" x14ac:dyDescent="0.3">
      <c r="A45" s="5" t="s">
        <v>263</v>
      </c>
      <c r="B45" s="6" t="s">
        <v>251</v>
      </c>
      <c r="C45" s="6" t="s">
        <v>264</v>
      </c>
      <c r="D45" s="6" t="s">
        <v>265</v>
      </c>
      <c r="E45" s="6" t="s">
        <v>266</v>
      </c>
      <c r="F45" s="6" t="s">
        <v>267</v>
      </c>
      <c r="G45" s="6" t="s">
        <v>268</v>
      </c>
      <c r="H45" s="9" t="s">
        <v>161</v>
      </c>
    </row>
    <row r="46" spans="1:8" ht="66" customHeight="1" x14ac:dyDescent="0.3">
      <c r="A46" s="5" t="s">
        <v>269</v>
      </c>
      <c r="B46" s="6" t="s">
        <v>251</v>
      </c>
      <c r="C46" s="6" t="s">
        <v>270</v>
      </c>
      <c r="D46" s="6" t="s">
        <v>271</v>
      </c>
      <c r="E46" s="6" t="s">
        <v>272</v>
      </c>
      <c r="F46" s="6" t="s">
        <v>273</v>
      </c>
      <c r="G46" s="6" t="s">
        <v>274</v>
      </c>
      <c r="H46" s="8" t="s">
        <v>30</v>
      </c>
    </row>
    <row r="47" spans="1:8" ht="66" customHeight="1" x14ac:dyDescent="0.3">
      <c r="A47" s="5" t="s">
        <v>275</v>
      </c>
      <c r="B47" s="6" t="s">
        <v>276</v>
      </c>
      <c r="C47" s="6" t="s">
        <v>277</v>
      </c>
      <c r="D47" s="6" t="s">
        <v>278</v>
      </c>
      <c r="E47" s="6" t="s">
        <v>279</v>
      </c>
      <c r="F47" s="6" t="s">
        <v>280</v>
      </c>
      <c r="G47" s="6" t="s">
        <v>281</v>
      </c>
      <c r="H47" s="7" t="s">
        <v>17</v>
      </c>
    </row>
    <row r="48" spans="1:8" ht="66" customHeight="1" x14ac:dyDescent="0.3">
      <c r="A48" s="5" t="s">
        <v>282</v>
      </c>
      <c r="B48" s="6" t="s">
        <v>276</v>
      </c>
      <c r="C48" s="6" t="s">
        <v>283</v>
      </c>
      <c r="D48" s="6" t="s">
        <v>284</v>
      </c>
      <c r="E48" s="6" t="s">
        <v>285</v>
      </c>
      <c r="F48" s="6" t="s">
        <v>286</v>
      </c>
      <c r="G48" s="6" t="s">
        <v>287</v>
      </c>
      <c r="H48" s="7" t="s">
        <v>17</v>
      </c>
    </row>
    <row r="49" spans="1:8" ht="51.75" customHeight="1" x14ac:dyDescent="0.3">
      <c r="A49" s="5" t="s">
        <v>288</v>
      </c>
      <c r="B49" s="6" t="s">
        <v>276</v>
      </c>
      <c r="C49" s="6" t="s">
        <v>289</v>
      </c>
      <c r="D49" s="6" t="s">
        <v>290</v>
      </c>
      <c r="E49" s="6" t="s">
        <v>291</v>
      </c>
      <c r="F49" s="6" t="s">
        <v>292</v>
      </c>
      <c r="G49" s="6" t="s">
        <v>293</v>
      </c>
      <c r="H49" s="8" t="s">
        <v>30</v>
      </c>
    </row>
    <row r="50" spans="1:8" ht="66" customHeight="1" x14ac:dyDescent="0.3">
      <c r="A50" s="5" t="s">
        <v>294</v>
      </c>
      <c r="B50" s="6" t="s">
        <v>276</v>
      </c>
      <c r="C50" s="6" t="s">
        <v>295</v>
      </c>
      <c r="D50" s="6" t="s">
        <v>296</v>
      </c>
      <c r="E50" s="6" t="s">
        <v>297</v>
      </c>
      <c r="F50" s="6" t="s">
        <v>298</v>
      </c>
      <c r="G50" s="6" t="s">
        <v>299</v>
      </c>
      <c r="H50" s="7" t="s">
        <v>17</v>
      </c>
    </row>
    <row r="51" spans="1:8" ht="66" customHeight="1" x14ac:dyDescent="0.3">
      <c r="A51" s="5" t="s">
        <v>300</v>
      </c>
      <c r="B51" s="6" t="s">
        <v>301</v>
      </c>
      <c r="C51" s="6" t="s">
        <v>302</v>
      </c>
      <c r="D51" s="6" t="s">
        <v>303</v>
      </c>
      <c r="E51" s="6" t="s">
        <v>304</v>
      </c>
      <c r="F51" s="6" t="s">
        <v>305</v>
      </c>
      <c r="G51" s="6" t="s">
        <v>306</v>
      </c>
      <c r="H51" s="7" t="s">
        <v>17</v>
      </c>
    </row>
    <row r="52" spans="1:8" ht="66" customHeight="1" x14ac:dyDescent="0.3">
      <c r="A52" s="5" t="s">
        <v>307</v>
      </c>
      <c r="B52" s="6" t="s">
        <v>301</v>
      </c>
      <c r="C52" s="6" t="s">
        <v>308</v>
      </c>
      <c r="D52" s="6" t="s">
        <v>309</v>
      </c>
      <c r="E52" s="6" t="s">
        <v>310</v>
      </c>
      <c r="F52" s="6" t="s">
        <v>311</v>
      </c>
      <c r="G52" s="6" t="s">
        <v>312</v>
      </c>
      <c r="H52" s="9" t="s">
        <v>161</v>
      </c>
    </row>
  </sheetData>
  <autoFilter ref="A4:H52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/>
  </sheetViews>
  <sheetFormatPr defaultColWidth="8.6640625" defaultRowHeight="14.4" x14ac:dyDescent="0.3"/>
  <cols>
    <col min="1" max="1" width="34" customWidth="1"/>
    <col min="2" max="4" width="16" customWidth="1"/>
  </cols>
  <sheetData>
    <row r="1" spans="1:4" ht="17.399999999999999" x14ac:dyDescent="0.3">
      <c r="A1" s="3" t="s">
        <v>313</v>
      </c>
      <c r="B1" s="3"/>
      <c r="C1" s="3"/>
      <c r="D1" s="3"/>
    </row>
    <row r="2" spans="1:4" x14ac:dyDescent="0.3">
      <c r="A2" s="2" t="s">
        <v>314</v>
      </c>
      <c r="B2" s="2"/>
      <c r="C2" s="2"/>
      <c r="D2" s="2"/>
    </row>
    <row r="4" spans="1:4" x14ac:dyDescent="0.3">
      <c r="A4" s="1" t="s">
        <v>315</v>
      </c>
      <c r="B4" s="1"/>
      <c r="C4" s="1"/>
      <c r="D4" s="1"/>
    </row>
    <row r="5" spans="1:4" x14ac:dyDescent="0.3">
      <c r="A5" s="10" t="s">
        <v>9</v>
      </c>
      <c r="B5" s="10" t="s">
        <v>316</v>
      </c>
      <c r="C5" s="10" t="s">
        <v>317</v>
      </c>
      <c r="D5" s="10" t="s">
        <v>318</v>
      </c>
    </row>
    <row r="6" spans="1:4" ht="30" customHeight="1" x14ac:dyDescent="0.3">
      <c r="A6" s="11" t="s">
        <v>17</v>
      </c>
      <c r="B6" s="12">
        <f>COUNTIF('1. Gap Analysis'!$H$5:$H$52,"High")</f>
        <v>16</v>
      </c>
      <c r="C6" s="13">
        <f>B6/COUNTA('1. Gap Analysis'!$A$5:$A$52)</f>
        <v>0.33333333333333331</v>
      </c>
      <c r="D6" s="14" t="s">
        <v>319</v>
      </c>
    </row>
    <row r="7" spans="1:4" ht="30" customHeight="1" x14ac:dyDescent="0.3">
      <c r="A7" s="15" t="s">
        <v>30</v>
      </c>
      <c r="B7" s="12">
        <f>COUNTIF('1. Gap Analysis'!$H$5:$H$52,"Medium")</f>
        <v>25</v>
      </c>
      <c r="C7" s="13">
        <f>B7/COUNTA('1. Gap Analysis'!$A$5:$A$52)</f>
        <v>0.52083333333333337</v>
      </c>
      <c r="D7" s="14" t="s">
        <v>320</v>
      </c>
    </row>
    <row r="8" spans="1:4" ht="30" customHeight="1" x14ac:dyDescent="0.3">
      <c r="A8" s="16" t="s">
        <v>161</v>
      </c>
      <c r="B8" s="12">
        <f>COUNTIF('1. Gap Analysis'!$H$5:$H$52,"Low")</f>
        <v>7</v>
      </c>
      <c r="C8" s="13">
        <f>B8/COUNTA('1. Gap Analysis'!$A$5:$A$52)</f>
        <v>0.14583333333333334</v>
      </c>
      <c r="D8" s="14" t="s">
        <v>321</v>
      </c>
    </row>
    <row r="10" spans="1:4" x14ac:dyDescent="0.3">
      <c r="A10" s="1" t="s">
        <v>322</v>
      </c>
      <c r="B10" s="1"/>
      <c r="C10" s="1"/>
      <c r="D10" s="1"/>
    </row>
    <row r="11" spans="1:4" x14ac:dyDescent="0.3">
      <c r="A11" s="10" t="s">
        <v>3</v>
      </c>
      <c r="B11" s="10" t="s">
        <v>323</v>
      </c>
      <c r="C11" s="10" t="s">
        <v>324</v>
      </c>
    </row>
    <row r="12" spans="1:4" x14ac:dyDescent="0.3">
      <c r="A12" s="17" t="s">
        <v>11</v>
      </c>
      <c r="B12" s="12">
        <f>COUNTIF('1. Gap Analysis'!$B$5:$B$52,A12)</f>
        <v>4</v>
      </c>
      <c r="C12" s="12">
        <f>COUNTIFS('1. Gap Analysis'!$B$5:$B$52,A12,'1. Gap Analysis'!$H$5:$H$52,"High")</f>
        <v>2</v>
      </c>
    </row>
    <row r="13" spans="1:4" x14ac:dyDescent="0.3">
      <c r="A13" s="17" t="s">
        <v>38</v>
      </c>
      <c r="B13" s="12">
        <f>COUNTIF('1. Gap Analysis'!$B$5:$B$52,A13)</f>
        <v>4</v>
      </c>
      <c r="C13" s="12">
        <f>COUNTIFS('1. Gap Analysis'!$B$5:$B$52,A13,'1. Gap Analysis'!$H$5:$H$52,"High")</f>
        <v>2</v>
      </c>
    </row>
    <row r="14" spans="1:4" x14ac:dyDescent="0.3">
      <c r="A14" s="17" t="s">
        <v>63</v>
      </c>
      <c r="B14" s="12">
        <f>COUNTIF('1. Gap Analysis'!$B$5:$B$52,A14)</f>
        <v>5</v>
      </c>
      <c r="C14" s="12">
        <f>COUNTIFS('1. Gap Analysis'!$B$5:$B$52,A14,'1. Gap Analysis'!$H$5:$H$52,"High")</f>
        <v>1</v>
      </c>
    </row>
    <row r="15" spans="1:4" x14ac:dyDescent="0.3">
      <c r="A15" s="17" t="s">
        <v>94</v>
      </c>
      <c r="B15" s="12">
        <f>COUNTIF('1. Gap Analysis'!$B$5:$B$52,A15)</f>
        <v>4</v>
      </c>
      <c r="C15" s="12">
        <f>COUNTIFS('1. Gap Analysis'!$B$5:$B$52,A15,'1. Gap Analysis'!$H$5:$H$52,"High")</f>
        <v>2</v>
      </c>
    </row>
    <row r="16" spans="1:4" x14ac:dyDescent="0.3">
      <c r="A16" s="17" t="s">
        <v>118</v>
      </c>
      <c r="B16" s="12">
        <f>COUNTIF('1. Gap Analysis'!$B$5:$B$52,A16)</f>
        <v>4</v>
      </c>
      <c r="C16" s="12">
        <f>COUNTIFS('1. Gap Analysis'!$B$5:$B$52,A16,'1. Gap Analysis'!$H$5:$H$52,"High")</f>
        <v>1</v>
      </c>
    </row>
    <row r="17" spans="1:3" x14ac:dyDescent="0.3">
      <c r="A17" s="17" t="s">
        <v>143</v>
      </c>
      <c r="B17" s="12">
        <f>COUNTIF('1. Gap Analysis'!$B$5:$B$52,A17)</f>
        <v>4</v>
      </c>
      <c r="C17" s="12">
        <f>COUNTIFS('1. Gap Analysis'!$B$5:$B$52,A17,'1. Gap Analysis'!$H$5:$H$52,"High")</f>
        <v>0</v>
      </c>
    </row>
    <row r="18" spans="1:3" x14ac:dyDescent="0.3">
      <c r="A18" s="17" t="s">
        <v>169</v>
      </c>
      <c r="B18" s="12">
        <f>COUNTIF('1. Gap Analysis'!$B$5:$B$52,A18)</f>
        <v>3</v>
      </c>
      <c r="C18" s="12">
        <f>COUNTIFS('1. Gap Analysis'!$B$5:$B$52,A18,'1. Gap Analysis'!$H$5:$H$52,"High")</f>
        <v>0</v>
      </c>
    </row>
    <row r="19" spans="1:3" x14ac:dyDescent="0.3">
      <c r="A19" s="17" t="s">
        <v>188</v>
      </c>
      <c r="B19" s="12">
        <f>COUNTIF('1. Gap Analysis'!$B$5:$B$52,A19)</f>
        <v>3</v>
      </c>
      <c r="C19" s="12">
        <f>COUNTIFS('1. Gap Analysis'!$B$5:$B$52,A19,'1. Gap Analysis'!$H$5:$H$52,"High")</f>
        <v>0</v>
      </c>
    </row>
    <row r="20" spans="1:3" x14ac:dyDescent="0.3">
      <c r="A20" s="17" t="s">
        <v>207</v>
      </c>
      <c r="B20" s="12">
        <f>COUNTIF('1. Gap Analysis'!$B$5:$B$52,A20)</f>
        <v>2</v>
      </c>
      <c r="C20" s="12">
        <f>COUNTIFS('1. Gap Analysis'!$B$5:$B$52,A20,'1. Gap Analysis'!$H$5:$H$52,"High")</f>
        <v>1</v>
      </c>
    </row>
    <row r="21" spans="1:3" x14ac:dyDescent="0.3">
      <c r="A21" s="17" t="s">
        <v>220</v>
      </c>
      <c r="B21" s="12">
        <f>COUNTIF('1. Gap Analysis'!$B$5:$B$52,A21)</f>
        <v>5</v>
      </c>
      <c r="C21" s="12">
        <f>COUNTIFS('1. Gap Analysis'!$B$5:$B$52,A21,'1. Gap Analysis'!$H$5:$H$52,"High")</f>
        <v>2</v>
      </c>
    </row>
    <row r="22" spans="1:3" x14ac:dyDescent="0.3">
      <c r="A22" s="17" t="s">
        <v>251</v>
      </c>
      <c r="B22" s="12">
        <f>COUNTIF('1. Gap Analysis'!$B$5:$B$52,A22)</f>
        <v>4</v>
      </c>
      <c r="C22" s="12">
        <f>COUNTIFS('1. Gap Analysis'!$B$5:$B$52,A22,'1. Gap Analysis'!$H$5:$H$52,"High")</f>
        <v>1</v>
      </c>
    </row>
    <row r="23" spans="1:3" x14ac:dyDescent="0.3">
      <c r="A23" s="17" t="s">
        <v>276</v>
      </c>
      <c r="B23" s="12">
        <f>COUNTIF('1. Gap Analysis'!$B$5:$B$52,A23)</f>
        <v>4</v>
      </c>
      <c r="C23" s="12">
        <f>COUNTIFS('1. Gap Analysis'!$B$5:$B$52,A23,'1. Gap Analysis'!$H$5:$H$52,"High")</f>
        <v>3</v>
      </c>
    </row>
    <row r="24" spans="1:3" x14ac:dyDescent="0.3">
      <c r="A24" s="17" t="s">
        <v>301</v>
      </c>
      <c r="B24" s="12">
        <f>COUNTIF('1. Gap Analysis'!$B$5:$B$52,A24)</f>
        <v>2</v>
      </c>
      <c r="C24" s="12">
        <f>COUNTIFS('1. Gap Analysis'!$B$5:$B$52,A24,'1. Gap Analysis'!$H$5:$H$52,"High")</f>
        <v>1</v>
      </c>
    </row>
  </sheetData>
  <mergeCells count="4">
    <mergeCell ref="A1:D1"/>
    <mergeCell ref="A2:D2"/>
    <mergeCell ref="A4:D4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Gap Analysis</vt:lpstr>
      <vt:lpstr>2. Priority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bhuvaneswari kundla</cp:lastModifiedBy>
  <cp:revision>0</cp:revision>
  <dcterms:created xsi:type="dcterms:W3CDTF">2026-07-24T11:12:44Z</dcterms:created>
  <dcterms:modified xsi:type="dcterms:W3CDTF">2026-07-24T12:04:47Z</dcterms:modified>
  <dc:language>en-US</dc:language>
</cp:coreProperties>
</file>