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636a3e7baeffcee0/Desktop/Project - 3 NIS2 Gap Assessment for a fictional Irish SME/"/>
    </mc:Choice>
  </mc:AlternateContent>
  <xr:revisionPtr revIDLastSave="2" documentId="8_{E0265A15-BED4-4D82-AEE1-ED6FBE67F1E4}" xr6:coauthVersionLast="47" xr6:coauthVersionMax="47" xr10:uidLastSave="{9BDF960C-B8D1-4D1C-AF1E-0FCCDABB7136}"/>
  <bookViews>
    <workbookView xWindow="-108" yWindow="-108" windowWidth="23256" windowHeight="13896" tabRatio="500" firstSheet="1" activeTab="2" xr2:uid="{00000000-000D-0000-FFFF-FFFF00000000}"/>
  </bookViews>
  <sheets>
    <sheet name="1. Maturity Scale" sheetId="1" r:id="rId1"/>
    <sheet name="2. Current State Assessment" sheetId="2" r:id="rId2"/>
    <sheet name="3. Maturity Dashboard" sheetId="3" r:id="rId3"/>
  </sheets>
  <definedNames>
    <definedName name="_xlnm._FilterDatabase" localSheetId="1" hidden="1">'2. Current State Assessment'!$A$4:$G$55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0" i="3" l="1"/>
  <c r="B30" i="3"/>
  <c r="C29" i="3"/>
  <c r="B29" i="3"/>
  <c r="C28" i="3"/>
  <c r="B28" i="3"/>
  <c r="C27" i="3"/>
  <c r="B27" i="3"/>
  <c r="C26" i="3"/>
  <c r="B26" i="3"/>
  <c r="C25" i="3"/>
  <c r="B25" i="3"/>
  <c r="C24" i="3"/>
  <c r="B24" i="3"/>
  <c r="C23" i="3"/>
  <c r="B23" i="3"/>
  <c r="C22" i="3"/>
  <c r="B22" i="3"/>
  <c r="C21" i="3"/>
  <c r="B21" i="3"/>
  <c r="C20" i="3"/>
  <c r="B20" i="3"/>
  <c r="C19" i="3"/>
  <c r="B19" i="3"/>
  <c r="C18" i="3"/>
  <c r="B18" i="3"/>
  <c r="C14" i="3"/>
  <c r="D14" i="3" s="1"/>
  <c r="D13" i="3"/>
  <c r="C13" i="3"/>
  <c r="C12" i="3"/>
  <c r="D12" i="3" s="1"/>
  <c r="D11" i="3"/>
  <c r="C11" i="3"/>
  <c r="C10" i="3"/>
  <c r="D10" i="3" s="1"/>
  <c r="B6" i="3"/>
  <c r="B5" i="3"/>
</calcChain>
</file>

<file path=xl/sharedStrings.xml><?xml version="1.0" encoding="utf-8"?>
<sst xmlns="http://schemas.openxmlformats.org/spreadsheetml/2006/main" count="376" uniqueCount="264">
  <si>
    <t>Maturity Rating Scale — Definitions Used in This Assessment</t>
  </si>
  <si>
    <t>Adapted from CMMI / NIST CSF Tier-style maturity models, applied consistently across all 51 requirements below</t>
  </si>
  <si>
    <t>Level</t>
  </si>
  <si>
    <t>Label</t>
  </si>
  <si>
    <t>Definition</t>
  </si>
  <si>
    <t>What This Looks Like in Practice</t>
  </si>
  <si>
    <t>Non-existent</t>
  </si>
  <si>
    <t>No process, control, or artefact exists at all. The requirement has not been attempted in any form.</t>
  </si>
  <si>
    <t>Nobody has done this. No document, no activity, no owner — a completely blank page.</t>
  </si>
  <si>
    <t>Ad hoc</t>
  </si>
  <si>
    <t>Something happens, but informally, inconsistently, and dependent on a specific individual remembering to do it. Nothing is documented or repeatable.</t>
  </si>
  <si>
    <t>It happens sometimes, done differently by whoever's doing it that day, with no instructions written down.</t>
  </si>
  <si>
    <t>Developing</t>
  </si>
  <si>
    <t>A process or policy has been defined and partially rolled out, but is not yet consistently applied, enforced, or complete across the organisation.</t>
  </si>
  <si>
    <t>There's a real attempt — a policy, a standard — but it's incomplete, unevenly followed, or missing enforcement.</t>
  </si>
  <si>
    <t>Defined</t>
  </si>
  <si>
    <t>A documented, standardised process is consistently applied across the organisation, with clear ownership and roles. Not yet actively measured or improved.</t>
  </si>
  <si>
    <t>Everyone does it the same way, every time, and it's written down — but nobody is checking whether it's working well.</t>
  </si>
  <si>
    <t>Optimised</t>
  </si>
  <si>
    <t>As Defined, plus the process is actively measured, benchmarked, and continuously improved based on results and lessons learned.</t>
  </si>
  <si>
    <t>The process is not just followed — it's monitored, reviewed, and deliberately getting better over time.</t>
  </si>
  <si>
    <t>METHODOLOGY NOTE</t>
  </si>
  <si>
    <t>Each of the 51 requirements below was rated against this scale using the evidence recorded in the Current State column — the same evidence base used in the Gap Assessment (Task/Sheet cross-reference). Ratings deliberately do not default to the middle of the scale: HealthNet is a fictional SME with only basic IT operations and no formal security programme, so most requirements score 1-2. Two requirements (BCM-01 backups and CRY-02 encryption) score 4, reflecting genuinely solid, consistent technical implementation — proof this assessment is evidence-driven rather than uniformly negative. No requirement scores 5, since nothing at HealthNet is yet measured or continuously improved, which is an honest and realistic outcome for an organisation at this stage of maturity.</t>
  </si>
  <si>
    <t>Current State Assessment — HealthNet Ireland Ltd</t>
  </si>
  <si>
    <t>51 NIS2 requirements rated against the 5-level maturity scale (Sheet 1), using evidence-based current-state review</t>
  </si>
  <si>
    <t>Ref</t>
  </si>
  <si>
    <t>Domain</t>
  </si>
  <si>
    <t>NIS2 Requirement</t>
  </si>
  <si>
    <t>Current State (Evidence Observed)</t>
  </si>
  <si>
    <t>Maturity Label</t>
  </si>
  <si>
    <t>Rationale</t>
  </si>
  <si>
    <t>GOV-01</t>
  </si>
  <si>
    <t>Governance &amp; Accountability</t>
  </si>
  <si>
    <t>Management board formally approves the cybersecurity risk-management measures.</t>
  </si>
  <si>
    <t>Cybersecurity is delegated entirely to the IT Manager; the board has never formally approved the risk-management measures or recorded such approval in minutes.</t>
  </si>
  <si>
    <t>No approval has ever occurred and nothing is recorded — meets 'Non-existent'.</t>
  </si>
  <si>
    <t>GOV-02</t>
  </si>
  <si>
    <t>Management board oversees implementation of the measures and can be held accountable.</t>
  </si>
  <si>
    <t>Quarterly IT report to the board covers uptime and budget only; no cyber risk KPIs or oversight mechanism.</t>
  </si>
  <si>
    <t>No oversight mechanism or reporting line exists for cyber risk — 'Non-existent'.</t>
  </si>
  <si>
    <t>GOV-03</t>
  </si>
  <si>
    <t>Members of the management board follow cybersecurity training.</t>
  </si>
  <si>
    <t>CEO attended one NCSC webinar in 2025; no structured board training programme.</t>
  </si>
  <si>
    <t>A single ad hoc webinar has occurred but there is no recurring, structured programme — 'Ad hoc'.</t>
  </si>
  <si>
    <t>GOV-04</t>
  </si>
  <si>
    <t>Equivalent training is offered to employees on a regular basis.</t>
  </si>
  <si>
    <t>Annual security e-learning assigned to all staff; 78% completion rate, no follow-up for non-completers.</t>
  </si>
  <si>
    <t>Training is assigned but not enforced or tracked to completion — inconsistent and unmanaged — 'Ad hoc'.</t>
  </si>
  <si>
    <t>RSK-01</t>
  </si>
  <si>
    <t>Risk Analysis &amp; Policies</t>
  </si>
  <si>
    <t>A documented information security policy exists, approved by management.</t>
  </si>
  <si>
    <t>Information Security Policy v2.1 exists, signed by the CEO in 2024, but not reviewed since.</t>
  </si>
  <si>
    <t>A policy document exists but has no review cycle or ownership keeping it current — 'Ad hoc'.</t>
  </si>
  <si>
    <t>RSK-02</t>
  </si>
  <si>
    <t>A formal, repeatable risk assessment methodology is defined and applied.</t>
  </si>
  <si>
    <t>Risks discussed informally at IT team meetings; no methodology, criteria or risk register.</t>
  </si>
  <si>
    <t>No methodology, criteria or structured process exists at all — 'Non-existent'.</t>
  </si>
  <si>
    <t>RSK-03</t>
  </si>
  <si>
    <t>A maintained risk register with owners, scores and treatment decisions exists.</t>
  </si>
  <si>
    <t>No risk register exists.</t>
  </si>
  <si>
    <t>No register exists in any form — 'Non-existent'.</t>
  </si>
  <si>
    <t>RSK-04</t>
  </si>
  <si>
    <t>An all-hazards approach is taken (physical, environmental and cyber threats considered).</t>
  </si>
  <si>
    <t>Assessments (informal) consider cyber threats only; physical security of the office server room never reviewed.</t>
  </si>
  <si>
    <t>Physical/environmental risk has never been considered — 'Non-existent'.</t>
  </si>
  <si>
    <t>INC-01</t>
  </si>
  <si>
    <t>Incident Handling</t>
  </si>
  <si>
    <t>A documented incident response plan/procedure exists.</t>
  </si>
  <si>
    <t>No incident response plan or procedure of any kind; staff would improvise if an attack occurred.</t>
  </si>
  <si>
    <t>No plan, procedure or documentation exists — 'Non-existent'.</t>
  </si>
  <si>
    <t>INC-02</t>
  </si>
  <si>
    <t>Incidents are detected, logged and tracked through to resolution.</t>
  </si>
  <si>
    <t>Helpdesk tickets capture some incidents; no central security incident log; no SIEM.</t>
  </si>
  <si>
    <t>Some incidents are captured via helpdesk tickets, but informally and without a dedicated log — 'Ad hoc'.</t>
  </si>
  <si>
    <t>INC-03</t>
  </si>
  <si>
    <t>Roles and responsibilities during an incident are defined (incl. out-of-hours).</t>
  </si>
  <si>
    <t>IT Manager is the single point of contact; no deputy, no out-of-hours rota.</t>
  </si>
  <si>
    <t>A single point of contact exists but with no defined backup, rota or documentation — fragile, 'Ad hoc'.</t>
  </si>
  <si>
    <t>INC-04</t>
  </si>
  <si>
    <t>Incident response is tested (tabletop or simulation) at least annually.</t>
  </si>
  <si>
    <t>Never tested.</t>
  </si>
  <si>
    <t>No exercise has ever been run — 'Non-existent'.</t>
  </si>
  <si>
    <t>INC-05</t>
  </si>
  <si>
    <t>Post-incident reviews capture lessons learned and drive improvement.</t>
  </si>
  <si>
    <t>Major 2025 phishing incident closed with no PIR or corrective actions recorded.</t>
  </si>
  <si>
    <t>No post-incident review process exists, even after a real incident — 'Non-existent'.</t>
  </si>
  <si>
    <t>BCM-01</t>
  </si>
  <si>
    <t>Business Continuity &amp; Backup</t>
  </si>
  <si>
    <t>Backup policy defines scope, frequency and retention for critical systems.</t>
  </si>
  <si>
    <t>Nightly automated backups of production databases to a second AWS region; retention 30 days; documented.</t>
  </si>
  <si>
    <t>Automated, documented, and consistently applied across critical systems with defined retention — 'Defined'.</t>
  </si>
  <si>
    <t>BCM-02</t>
  </si>
  <si>
    <t>Backups follow good practice (offline/immutable copy; 3-2-1 principle) and restores are tested.</t>
  </si>
  <si>
    <t>Backups exist in two AWS regions under the same account/credentials; restore tested once in 2024.</t>
  </si>
  <si>
    <t>A single one-off restore test with no schedule, and backups share the same account as production — 'Ad hoc'.</t>
  </si>
  <si>
    <t>BCM-03</t>
  </si>
  <si>
    <t>A business continuity / disaster recovery plan exists with defined RTO/RPO.</t>
  </si>
  <si>
    <t>Draft DR plan from 2023 never finalised; no RTO/RPO agreed with the business or customers.</t>
  </si>
  <si>
    <t>An unfinished 2023 draft was never adopted; no operational plan exists — 'Non-existent'.</t>
  </si>
  <si>
    <t>BCM-04</t>
  </si>
  <si>
    <t>Crisis management arrangements exist (roles, communications, decision authority).</t>
  </si>
  <si>
    <t>None.</t>
  </si>
  <si>
    <t>No crisis management structure of any kind exists — 'Non-existent'.</t>
  </si>
  <si>
    <t>BCM-05</t>
  </si>
  <si>
    <t>BC/DR arrangements are tested periodically.</t>
  </si>
  <si>
    <t>Never tested — 'Non-existent'.</t>
  </si>
  <si>
    <t>SCM-01</t>
  </si>
  <si>
    <t>Supply Chain Security</t>
  </si>
  <si>
    <t>Critical suppliers and service providers are identified and inventoried.</t>
  </si>
  <si>
    <t>Finance holds a vendor list for invoicing; no criticality assessment.</t>
  </si>
  <si>
    <t>A vendor list exists for an unrelated purpose (invoicing); no criticality or security lens applied — 'Ad hoc'.</t>
  </si>
  <si>
    <t>SCM-02</t>
  </si>
  <si>
    <t>Security requirements are addressed in supplier contracts (incl. incident notification clauses).</t>
  </si>
  <si>
    <t>Standard contracts contain confidentiality clauses only; no security schedules, audit rights or breach notification SLAs.</t>
  </si>
  <si>
    <t>No security clauses exist in any contract — 'Non-existent'.</t>
  </si>
  <si>
    <t>SCM-03</t>
  </si>
  <si>
    <t>Supplier security is assessed before onboarding and periodically thereafter (TPRM).</t>
  </si>
  <si>
    <t>No due-diligence questionnaire or review process.</t>
  </si>
  <si>
    <t>No due-diligence or onboarding assessment process exists — 'Non-existent'.</t>
  </si>
  <si>
    <t>SCM-04</t>
  </si>
  <si>
    <t>Vulnerabilities specific to individual suppliers and overall supply-chain quality are considered in risk assessments.</t>
  </si>
  <si>
    <t>Not considered (no risk assessment process exists — see RSK-02).</t>
  </si>
  <si>
    <t>Not considered in any process — 'Non-existent'.</t>
  </si>
  <si>
    <t>SDA-01</t>
  </si>
  <si>
    <t>Secure Development &amp; Vulnerability Handling</t>
  </si>
  <si>
    <t>Security requirements are defined for acquisition and development of systems.</t>
  </si>
  <si>
    <t>Developers follow informal peer review; no secure coding standard or security requirements in the SDLC.</t>
  </si>
  <si>
    <t>Peer review happens informally with no written standard — 'Ad hoc'.</t>
  </si>
  <si>
    <t>SDA-02</t>
  </si>
  <si>
    <t>Vulnerability management: systems are scanned and patched within defined timescales.</t>
  </si>
  <si>
    <t>Monthly OS patching via AWS SSM; no authenticated vulnerability scanning of the application or infrastructure.</t>
  </si>
  <si>
    <t>Patching is regular but scanning and remediation SLAs are entirely absent — 'Ad hoc'.</t>
  </si>
  <si>
    <t>SDA-03</t>
  </si>
  <si>
    <t>A coordinated vulnerability disclosure process exists (external researchers can report).</t>
  </si>
  <si>
    <t>No security.txt, no disclosure policy, no published contact.</t>
  </si>
  <si>
    <t>No disclosure channel or policy exists — 'Non-existent'.</t>
  </si>
  <si>
    <t>SDA-04</t>
  </si>
  <si>
    <t>Penetration testing of the platform is performed periodically.</t>
  </si>
  <si>
    <t>One customer-mandated pentest in 2024; criticals fixed, mediums still open.</t>
  </si>
  <si>
    <t>Testing occurs only when a customer demands it, not on a schedule — 'Ad hoc'.</t>
  </si>
  <si>
    <t>EFF-01</t>
  </si>
  <si>
    <t>Effectiveness Assessment</t>
  </si>
  <si>
    <t>Policies and procedures exist to assess the effectiveness of risk-management measures.</t>
  </si>
  <si>
    <t>None — no internal audit, no control testing, no KPIs.</t>
  </si>
  <si>
    <t>No audit, testing or effectiveness process exists — 'Non-existent'.</t>
  </si>
  <si>
    <t>EFF-02</t>
  </si>
  <si>
    <t>Results of effectiveness assessments are reported to management.</t>
  </si>
  <si>
    <t>N/A — no assessments performed.</t>
  </si>
  <si>
    <t>No assessments are performed, so nothing is reported — 'Non-existent'.</t>
  </si>
  <si>
    <t>EFF-03</t>
  </si>
  <si>
    <t>An improvement cycle exists (findings tracked to closure).</t>
  </si>
  <si>
    <t>No findings register or corrective action tracking.</t>
  </si>
  <si>
    <t>No findings register or corrective action tracking exists — 'Non-existent'.</t>
  </si>
  <si>
    <t>HYG-01</t>
  </si>
  <si>
    <t>Cyber Hygiene &amp; Training</t>
  </si>
  <si>
    <t>Basic cyber hygiene practices are implemented (patching, malware protection, hardening).</t>
  </si>
  <si>
    <t>Managed EDR on all endpoints; OS patching current; server hardening baseline not documented.</t>
  </si>
  <si>
    <t>Core hygiene is consistently applied across the estate, but lacks a written hardening standard to formalise it — 'Developing'.</t>
  </si>
  <si>
    <t>HYG-02</t>
  </si>
  <si>
    <t>Security awareness training is delivered regularly to all staff.</t>
  </si>
  <si>
    <t>Annual e-learning (78% completion); no phishing simulations.</t>
  </si>
  <si>
    <t>Training happens annually but with incomplete, unenforced participation — 'Ad hoc'.</t>
  </si>
  <si>
    <t>HYG-03</t>
  </si>
  <si>
    <t>Role-specific training for privileged/technical staff.</t>
  </si>
  <si>
    <t>None — developers and admins receive the same generic module.</t>
  </si>
  <si>
    <t>No role-specific training exists — 'Non-existent'.</t>
  </si>
  <si>
    <t>HYG-04</t>
  </si>
  <si>
    <t>Acceptable use and clean desk/screen policies are in place and communicated.</t>
  </si>
  <si>
    <t>AUP signed at onboarding; no re-attestation.</t>
  </si>
  <si>
    <t>A one-time attestation exists but is never refreshed — 'Ad hoc'.</t>
  </si>
  <si>
    <t>CRY-01</t>
  </si>
  <si>
    <t>Cryptography</t>
  </si>
  <si>
    <t>A cryptography policy defines where and how encryption is used.</t>
  </si>
  <si>
    <t>No policy; encryption decisions made ad hoc by engineers.</t>
  </si>
  <si>
    <t>No policy exists; decisions are made informally by individual engineers — 'Non-existent'.</t>
  </si>
  <si>
    <t>CRY-02</t>
  </si>
  <si>
    <t>Data is encrypted in transit and at rest where appropriate.</t>
  </si>
  <si>
    <t>TLS 1.2+ enforced on all endpoints; AWS RDS/S3 encryption at rest enabled; laptops FileVault/BitLocker encrypted.</t>
  </si>
  <si>
    <t>Encryption in transit and at rest is enforced consistently across the whole estate — 'Defined'.</t>
  </si>
  <si>
    <t>CRY-03</t>
  </si>
  <si>
    <t>Cryptographic keys are managed securely through their lifecycle.</t>
  </si>
  <si>
    <t>AWS KMS used for platform keys; no key inventory or rotation schedule for application-level secrets; some secrets in code repos.</t>
  </si>
  <si>
    <t>Some tooling is used for platform keys, but secrets are hardcoded and unmanaged elsewhere — inconsistent, 'Ad hoc'.</t>
  </si>
  <si>
    <t>HRA-01</t>
  </si>
  <si>
    <t>HR, Access Control &amp; Assets</t>
  </si>
  <si>
    <t>Security responsibilities are addressed in HR processes (screening, joiner/mover/leaver).</t>
  </si>
  <si>
    <t>References checked at hiring; leaver access removal relies on manager emailing IT — two ex-employees found with active VPN accounts.</t>
  </si>
  <si>
    <t>A leaver process exists informally but is failing in practice — orphaned accounts found — 'Ad hoc'.</t>
  </si>
  <si>
    <t>HRA-02</t>
  </si>
  <si>
    <t>Access is granted on least-privilege and role basis, with an approval workflow.</t>
  </si>
  <si>
    <t>Access granted on request via helpdesk; several developers hold production admin rights 'for convenience'.</t>
  </si>
  <si>
    <t>Access is granted informally on request, with no role model or approval workflow — 'Ad hoc'.</t>
  </si>
  <si>
    <t>HRA-03</t>
  </si>
  <si>
    <t>Access rights are recertified periodically.</t>
  </si>
  <si>
    <t>Never performed.</t>
  </si>
  <si>
    <t>Never performed — 'Non-existent'.</t>
  </si>
  <si>
    <t>HRA-04</t>
  </si>
  <si>
    <t>An asset inventory of hardware, software and information assets is maintained.</t>
  </si>
  <si>
    <t>Laptop register in a spreadsheet (last updated 5 months ago); no software or information asset inventory.</t>
  </si>
  <si>
    <t>A partial, stale spreadsheet exists; no formal inventory process — 'Ad hoc'.</t>
  </si>
  <si>
    <t>HRA-05</t>
  </si>
  <si>
    <t>Assets are securely disposed of / wiped at end of life.</t>
  </si>
  <si>
    <t>Old laptops stored in a cupboard; no wipe or disposal procedure.</t>
  </si>
  <si>
    <t>No disposal procedure exists — 'Non-existent'.</t>
  </si>
  <si>
    <t>MFA-01</t>
  </si>
  <si>
    <t>Authentication &amp; Secure Comms</t>
  </si>
  <si>
    <t>Multi-factor authentication is enforced for remote access and privileged accounts.</t>
  </si>
  <si>
    <t>MFA enforced on Microsoft 365 and VPN; NOT enforced on the AWS console or the SaaS admin portal.</t>
  </si>
  <si>
    <t>MFA is enforced on some systems but absent on the most sensitive ones — inconsistent, 'Ad hoc'.</t>
  </si>
  <si>
    <t>MFA-02</t>
  </si>
  <si>
    <t>MFA or continuous authentication is applied for user access to critical applications.</t>
  </si>
  <si>
    <t>Customer-facing platform supports MFA but it is optional; 22% of hospital users have enabled it.</t>
  </si>
  <si>
    <t>MFA exists as an option but adoption is left to individual users with no enforcement — 'Ad hoc'.</t>
  </si>
  <si>
    <t>MFA-03</t>
  </si>
  <si>
    <t>Voice, video and text communications are secured where appropriate.</t>
  </si>
  <si>
    <t>Teams (encrypted in transit) used internally; no policy on communicating incident details with customers securely.</t>
  </si>
  <si>
    <t>Secure comms rely on a tool's default behaviour rather than a deliberate policy — 'Ad hoc'.</t>
  </si>
  <si>
    <t>MFA-04</t>
  </si>
  <si>
    <t>Secured emergency communication systems exist for use during incidents.</t>
  </si>
  <si>
    <t>None — if M365 is compromised there is no out-of-band channel.</t>
  </si>
  <si>
    <t>No out-of-band channel exists — 'Non-existent'.</t>
  </si>
  <si>
    <t>REP-01</t>
  </si>
  <si>
    <t>Incident Reporting</t>
  </si>
  <si>
    <t>Capability to submit an early warning to the CSIRT within 24 hours of a significant incident.</t>
  </si>
  <si>
    <t>No procedure, no template, no one aware of the obligation; CSIRT-IE contact details not recorded.</t>
  </si>
  <si>
    <t>No procedure, template or awareness of the obligation exists — 'Non-existent'.</t>
  </si>
  <si>
    <t>REP-02</t>
  </si>
  <si>
    <t>Capability to submit an incident notification within 72 hours (assessment of severity, impact, IoCs).</t>
  </si>
  <si>
    <t>No procedure; overlaps with, but is distinct from, GDPR Art. 33 breach notification which the DPO handles.</t>
  </si>
  <si>
    <t>No procedure exists — 'Non-existent'.</t>
  </si>
  <si>
    <t>REP-03</t>
  </si>
  <si>
    <t>Capability to produce a final report within 1 month (root cause, mitigation, cross-border impact).</t>
  </si>
  <si>
    <t>No PIR process exists (see INC-05), so no basis for a final report.</t>
  </si>
  <si>
    <t>No basis for a final report exists, since no root-cause process exists — 'Non-existent'.</t>
  </si>
  <si>
    <t>REP-04</t>
  </si>
  <si>
    <t>Criteria to determine whether an incident is 'significant' are defined and understood.</t>
  </si>
  <si>
    <t>No definition adopted; no thresholds mapped to the platform or customer impact.</t>
  </si>
  <si>
    <t>No significance criteria have been defined — 'Non-existent'.</t>
  </si>
  <si>
    <t>REG-01</t>
  </si>
  <si>
    <t>Registration &amp; Regulator Engagement</t>
  </si>
  <si>
    <t>Entity registration details prepared for submission to the competent authority.</t>
  </si>
  <si>
    <t>Not started; unaware of the registration obligation under the Irish framework.</t>
  </si>
  <si>
    <t>Registration has not been started; the obligation itself is not yet known internally — 'Non-existent'.</t>
  </si>
  <si>
    <t>REG-02</t>
  </si>
  <si>
    <t>Monitoring of Irish transposition (National Cyber Security Bill) and NCSC guidance (RMM, CyFun).</t>
  </si>
  <si>
    <t>No one is assigned to track regulatory developments.</t>
  </si>
  <si>
    <t>No one is assigned to monitor regulatory developments — 'Non-existent'.</t>
  </si>
  <si>
    <t>Maturity Dashboard — HealthNet Ireland Ltd</t>
  </si>
  <si>
    <t>All figures calculated live from Sheet '2. Current State Assessment'</t>
  </si>
  <si>
    <t>OVERALL MATURITY</t>
  </si>
  <si>
    <t>Requirements assessed</t>
  </si>
  <si>
    <t>Average maturity (1-5 scale)</t>
  </si>
  <si>
    <t>DISTRIBUTION BY LEVEL</t>
  </si>
  <si>
    <t>Count</t>
  </si>
  <si>
    <t>% of Total</t>
  </si>
  <si>
    <t>AVERAGE MATURITY BY DOMAIN</t>
  </si>
  <si>
    <t>Requirements</t>
  </si>
  <si>
    <t>Avg. Maturity</t>
  </si>
  <si>
    <t>KEY TAKEAWAYS</t>
  </si>
  <si>
    <t>1. Three domains average exactly 1.0 (pure 'Non-existent'): Effectiveness Assessment, Incident Reporting, and Registration &amp; Regulator Engagement. HealthNet has never attempted any activity in these areas at all.</t>
  </si>
  <si>
    <t>2. Only two requirements in the entire assessment reach 'Defined' (Level 4): automated backups (BCM-01) and encryption in transit/at rest (CRY-02) — proof this is evidence-based, not uniformly pessimistic.</t>
  </si>
  <si>
    <t>3. No requirement reaches 'Optimised' (Level 5) — nothing at HealthNet is yet measured or continuously improved, which is expected and realistic for an organisation at this stage.</t>
  </si>
  <si>
    <t>4. 94% of requirements sit at Level 1 or 2 (Non-existent/Ad hoc) — the overall average of roughly 1.5 confirms HealthNet has essentially no formal security programme, only isolated pockets of good technical practice.</t>
  </si>
  <si>
    <t>5. The gap between 'Ad hoc' (Level 2) and 'Developing' (Level 3) is usually just documentation — many quick wins in the roadmap involve writing down what already happens informally, not building anything 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</si>
</sst>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1F3864"/>
      <name val="Arial"/>
      <charset val="1"/>
    </font>
    <font>
      <i/>
      <sz val="10"/>
      <color rgb="FF595959"/>
      <name val="Arial"/>
      <charset val="1"/>
    </font>
    <font>
      <b/>
      <sz val="10"/>
      <color rgb="FFFFFFFF"/>
      <name val="Arial"/>
      <charset val="1"/>
    </font>
    <font>
      <b/>
      <sz val="10"/>
      <color rgb="FF9C0006"/>
      <name val="Arial"/>
      <charset val="1"/>
    </font>
    <font>
      <b/>
      <sz val="10"/>
      <name val="Arial"/>
      <charset val="1"/>
    </font>
    <font>
      <sz val="10"/>
      <name val="Arial"/>
      <charset val="1"/>
    </font>
    <font>
      <b/>
      <sz val="10"/>
      <color rgb="FFC55A11"/>
      <name val="Arial"/>
      <charset val="1"/>
    </font>
    <font>
      <b/>
      <sz val="10"/>
      <color rgb="FF7F6000"/>
      <name val="Arial"/>
      <charset val="1"/>
    </font>
    <font>
      <b/>
      <sz val="10"/>
      <color rgb="FF375623"/>
      <name val="Arial"/>
      <charset val="1"/>
    </font>
  </fonts>
  <fills count="9">
    <fill>
      <patternFill patternType="none"/>
    </fill>
    <fill>
      <patternFill patternType="gray125"/>
    </fill>
    <fill>
      <patternFill patternType="solid">
        <fgColor rgb="FF1F3864"/>
        <bgColor rgb="FF2F5496"/>
      </patternFill>
    </fill>
    <fill>
      <patternFill patternType="solid">
        <fgColor rgb="FFFFC7CE"/>
        <bgColor rgb="FFFCE4D6"/>
      </patternFill>
    </fill>
    <fill>
      <patternFill patternType="solid">
        <fgColor rgb="FFFCE4D6"/>
        <bgColor rgb="FFFFF2CC"/>
      </patternFill>
    </fill>
    <fill>
      <patternFill patternType="solid">
        <fgColor rgb="FFFFF2CC"/>
        <bgColor rgb="FFFCE4D6"/>
      </patternFill>
    </fill>
    <fill>
      <patternFill patternType="solid">
        <fgColor rgb="FFC6E0B4"/>
        <bgColor rgb="FFA9D18E"/>
      </patternFill>
    </fill>
    <fill>
      <patternFill patternType="solid">
        <fgColor rgb="FFA9D18E"/>
        <bgColor rgb="FFC6E0B4"/>
      </patternFill>
    </fill>
    <fill>
      <patternFill patternType="solid">
        <fgColor rgb="FF2F5496"/>
        <b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indent="1"/>
    </xf>
    <xf numFmtId="0" fontId="7"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xf numFmtId="0" fontId="5" fillId="0" borderId="1" xfId="0" applyFont="1" applyBorder="1" applyAlignment="1">
      <alignment horizontal="center"/>
    </xf>
    <xf numFmtId="2" fontId="5" fillId="0" borderId="1" xfId="0" applyNumberFormat="1" applyFont="1" applyBorder="1" applyAlignment="1">
      <alignment horizontal="center"/>
    </xf>
    <xf numFmtId="0" fontId="3" fillId="2" borderId="1" xfId="0" applyFont="1" applyFill="1" applyBorder="1" applyAlignment="1">
      <alignment horizontal="center"/>
    </xf>
    <xf numFmtId="0" fontId="4" fillId="3" borderId="1" xfId="0" applyFont="1" applyFill="1" applyBorder="1"/>
    <xf numFmtId="0" fontId="6" fillId="0" borderId="1" xfId="0" applyFont="1" applyBorder="1" applyAlignment="1">
      <alignment horizontal="center"/>
    </xf>
    <xf numFmtId="9" fontId="6" fillId="0" borderId="1" xfId="0" applyNumberFormat="1" applyFont="1" applyBorder="1" applyAlignment="1">
      <alignment horizontal="center"/>
    </xf>
    <xf numFmtId="0" fontId="7" fillId="4" borderId="1" xfId="0" applyFont="1" applyFill="1" applyBorder="1"/>
    <xf numFmtId="0" fontId="8" fillId="5" borderId="1" xfId="0" applyFont="1" applyFill="1" applyBorder="1"/>
    <xf numFmtId="0" fontId="9" fillId="6" borderId="1" xfId="0" applyFont="1" applyFill="1" applyBorder="1"/>
    <xf numFmtId="0" fontId="9" fillId="7" borderId="1" xfId="0" applyFont="1" applyFill="1" applyBorder="1"/>
    <xf numFmtId="0" fontId="3" fillId="2" borderId="1" xfId="0" applyFont="1" applyFill="1" applyBorder="1" applyAlignment="1">
      <alignment horizontal="center" wrapText="1"/>
    </xf>
    <xf numFmtId="0" fontId="6" fillId="0" borderId="1" xfId="0" applyFont="1" applyBorder="1"/>
    <xf numFmtId="2" fontId="6" fillId="0" borderId="1" xfId="0" applyNumberFormat="1" applyFont="1" applyBorder="1" applyAlignment="1">
      <alignment horizontal="center"/>
    </xf>
    <xf numFmtId="0" fontId="1" fillId="0" borderId="0" xfId="0" applyFont="1"/>
    <xf numFmtId="0" fontId="2" fillId="0" borderId="0" xfId="0" applyFont="1"/>
    <xf numFmtId="0" fontId="3" fillId="8" borderId="0" xfId="0" applyFont="1" applyFill="1"/>
    <xf numFmtId="0" fontId="6" fillId="0" borderId="0" xfId="0" applyFont="1" applyAlignment="1">
      <alignment vertical="top" wrapText="1"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CE4D6"/>
      <rgbColor rgb="FFA9D18E"/>
      <rgbColor rgb="FFFF99CC"/>
      <rgbColor rgb="FFCC99FF"/>
      <rgbColor rgb="FFFFC7CE"/>
      <rgbColor rgb="FF3366FF"/>
      <rgbColor rgb="FF33CCCC"/>
      <rgbColor rgb="FF99CC00"/>
      <rgbColor rgb="FFFFCC00"/>
      <rgbColor rgb="FFFF9900"/>
      <rgbColor rgb="FFC55A11"/>
      <rgbColor rgb="FF595959"/>
      <rgbColor rgb="FF969696"/>
      <rgbColor rgb="FF1F3864"/>
      <rgbColor rgb="FF339966"/>
      <rgbColor rgb="FF003300"/>
      <rgbColor rgb="FF333300"/>
      <rgbColor rgb="FF9933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zoomScaleNormal="100" workbookViewId="0">
      <selection sqref="A1:D1"/>
    </sheetView>
  </sheetViews>
  <sheetFormatPr defaultColWidth="8.6640625" defaultRowHeight="14.4" x14ac:dyDescent="0.3"/>
  <cols>
    <col min="1" max="1" width="8" customWidth="1"/>
    <col min="2" max="2" width="16" customWidth="1"/>
    <col min="3" max="3" width="50" customWidth="1"/>
    <col min="4" max="4" width="60" customWidth="1"/>
  </cols>
  <sheetData>
    <row r="1" spans="1:4" ht="17.399999999999999" x14ac:dyDescent="0.3">
      <c r="A1" s="24" t="s">
        <v>0</v>
      </c>
      <c r="B1" s="24"/>
      <c r="C1" s="24"/>
      <c r="D1" s="24"/>
    </row>
    <row r="2" spans="1:4" x14ac:dyDescent="0.3">
      <c r="A2" s="25" t="s">
        <v>1</v>
      </c>
      <c r="B2" s="25"/>
      <c r="C2" s="25"/>
      <c r="D2" s="25"/>
    </row>
    <row r="4" spans="1:4" x14ac:dyDescent="0.3">
      <c r="A4" s="1" t="s">
        <v>2</v>
      </c>
      <c r="B4" s="1" t="s">
        <v>3</v>
      </c>
      <c r="C4" s="1" t="s">
        <v>4</v>
      </c>
      <c r="D4" s="1" t="s">
        <v>5</v>
      </c>
    </row>
    <row r="5" spans="1:4" ht="43.5" customHeight="1" x14ac:dyDescent="0.3">
      <c r="A5" s="2">
        <v>1</v>
      </c>
      <c r="B5" s="3" t="s">
        <v>6</v>
      </c>
      <c r="C5" s="4" t="s">
        <v>7</v>
      </c>
      <c r="D5" s="4" t="s">
        <v>8</v>
      </c>
    </row>
    <row r="6" spans="1:4" ht="51.75" customHeight="1" x14ac:dyDescent="0.3">
      <c r="A6" s="5">
        <v>2</v>
      </c>
      <c r="B6" s="3" t="s">
        <v>9</v>
      </c>
      <c r="C6" s="4" t="s">
        <v>10</v>
      </c>
      <c r="D6" s="4" t="s">
        <v>11</v>
      </c>
    </row>
    <row r="7" spans="1:4" ht="51.75" customHeight="1" x14ac:dyDescent="0.3">
      <c r="A7" s="6">
        <v>3</v>
      </c>
      <c r="B7" s="3" t="s">
        <v>12</v>
      </c>
      <c r="C7" s="4" t="s">
        <v>13</v>
      </c>
      <c r="D7" s="4" t="s">
        <v>14</v>
      </c>
    </row>
    <row r="8" spans="1:4" ht="51.75" customHeight="1" x14ac:dyDescent="0.3">
      <c r="A8" s="7">
        <v>4</v>
      </c>
      <c r="B8" s="3" t="s">
        <v>15</v>
      </c>
      <c r="C8" s="4" t="s">
        <v>16</v>
      </c>
      <c r="D8" s="4" t="s">
        <v>17</v>
      </c>
    </row>
    <row r="9" spans="1:4" ht="51.75" customHeight="1" x14ac:dyDescent="0.3">
      <c r="A9" s="8">
        <v>5</v>
      </c>
      <c r="B9" s="3" t="s">
        <v>18</v>
      </c>
      <c r="C9" s="4" t="s">
        <v>19</v>
      </c>
      <c r="D9" s="4" t="s">
        <v>20</v>
      </c>
    </row>
    <row r="11" spans="1:4" x14ac:dyDescent="0.3">
      <c r="A11" s="26" t="s">
        <v>21</v>
      </c>
      <c r="B11" s="26"/>
      <c r="C11" s="26"/>
      <c r="D11" s="26"/>
    </row>
    <row r="12" spans="1:4" ht="120" customHeight="1" x14ac:dyDescent="0.3">
      <c r="A12" s="27" t="s">
        <v>22</v>
      </c>
      <c r="B12" s="27"/>
      <c r="C12" s="27"/>
      <c r="D12" s="27"/>
    </row>
  </sheetData>
  <mergeCells count="4">
    <mergeCell ref="A1:D1"/>
    <mergeCell ref="A2:D2"/>
    <mergeCell ref="A11:D11"/>
    <mergeCell ref="A12:D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5"/>
  <sheetViews>
    <sheetView zoomScaleNormal="100" workbookViewId="0">
      <pane ySplit="4" topLeftCell="A56" activePane="bottomLeft" state="frozen"/>
      <selection pane="bottomLeft" activeCell="A56" sqref="A56"/>
    </sheetView>
  </sheetViews>
  <sheetFormatPr defaultColWidth="8.6640625" defaultRowHeight="14.4" x14ac:dyDescent="0.3"/>
  <cols>
    <col min="1" max="1" width="9" customWidth="1"/>
    <col min="2" max="2" width="24" customWidth="1"/>
    <col min="3" max="3" width="38" customWidth="1"/>
    <col min="4" max="4" width="46" customWidth="1"/>
    <col min="5" max="5" width="8" customWidth="1"/>
    <col min="6" max="6" width="14" customWidth="1"/>
    <col min="7" max="7" width="46" customWidth="1"/>
  </cols>
  <sheetData>
    <row r="1" spans="1:7" ht="17.399999999999999" x14ac:dyDescent="0.3">
      <c r="A1" s="24" t="s">
        <v>23</v>
      </c>
      <c r="B1" s="24"/>
      <c r="C1" s="24"/>
      <c r="D1" s="24"/>
      <c r="E1" s="24"/>
      <c r="F1" s="24"/>
      <c r="G1" s="24"/>
    </row>
    <row r="2" spans="1:7" x14ac:dyDescent="0.3">
      <c r="A2" s="25" t="s">
        <v>24</v>
      </c>
      <c r="B2" s="25"/>
      <c r="C2" s="25"/>
      <c r="D2" s="25"/>
      <c r="E2" s="25"/>
      <c r="F2" s="25"/>
      <c r="G2" s="25"/>
    </row>
    <row r="4" spans="1:7" x14ac:dyDescent="0.3">
      <c r="A4" s="1" t="s">
        <v>25</v>
      </c>
      <c r="B4" s="1" t="s">
        <v>26</v>
      </c>
      <c r="C4" s="1" t="s">
        <v>27</v>
      </c>
      <c r="D4" s="1" t="s">
        <v>28</v>
      </c>
      <c r="E4" s="1" t="s">
        <v>2</v>
      </c>
      <c r="F4" s="1" t="s">
        <v>29</v>
      </c>
      <c r="G4" s="1" t="s">
        <v>30</v>
      </c>
    </row>
    <row r="5" spans="1:7" ht="66" customHeight="1" x14ac:dyDescent="0.3">
      <c r="A5" s="9" t="s">
        <v>31</v>
      </c>
      <c r="B5" s="4" t="s">
        <v>32</v>
      </c>
      <c r="C5" s="4" t="s">
        <v>33</v>
      </c>
      <c r="D5" s="4" t="s">
        <v>34</v>
      </c>
      <c r="E5" s="2">
        <v>1</v>
      </c>
      <c r="F5" s="2" t="s">
        <v>6</v>
      </c>
      <c r="G5" s="4" t="s">
        <v>35</v>
      </c>
    </row>
    <row r="6" spans="1:7" ht="51.75" customHeight="1" x14ac:dyDescent="0.3">
      <c r="A6" s="9" t="s">
        <v>36</v>
      </c>
      <c r="B6" s="4" t="s">
        <v>32</v>
      </c>
      <c r="C6" s="4" t="s">
        <v>37</v>
      </c>
      <c r="D6" s="4" t="s">
        <v>38</v>
      </c>
      <c r="E6" s="2">
        <v>1</v>
      </c>
      <c r="F6" s="2" t="s">
        <v>6</v>
      </c>
      <c r="G6" s="4" t="s">
        <v>39</v>
      </c>
    </row>
    <row r="7" spans="1:7" ht="37.5" customHeight="1" x14ac:dyDescent="0.3">
      <c r="A7" s="9" t="s">
        <v>40</v>
      </c>
      <c r="B7" s="4" t="s">
        <v>32</v>
      </c>
      <c r="C7" s="4" t="s">
        <v>41</v>
      </c>
      <c r="D7" s="4" t="s">
        <v>42</v>
      </c>
      <c r="E7" s="5">
        <v>2</v>
      </c>
      <c r="F7" s="5" t="s">
        <v>9</v>
      </c>
      <c r="G7" s="4" t="s">
        <v>43</v>
      </c>
    </row>
    <row r="8" spans="1:7" ht="51.75" customHeight="1" x14ac:dyDescent="0.3">
      <c r="A8" s="9" t="s">
        <v>44</v>
      </c>
      <c r="B8" s="4" t="s">
        <v>32</v>
      </c>
      <c r="C8" s="4" t="s">
        <v>45</v>
      </c>
      <c r="D8" s="4" t="s">
        <v>46</v>
      </c>
      <c r="E8" s="5">
        <v>2</v>
      </c>
      <c r="F8" s="5" t="s">
        <v>9</v>
      </c>
      <c r="G8" s="4" t="s">
        <v>47</v>
      </c>
    </row>
    <row r="9" spans="1:7" ht="37.5" customHeight="1" x14ac:dyDescent="0.3">
      <c r="A9" s="9" t="s">
        <v>48</v>
      </c>
      <c r="B9" s="4" t="s">
        <v>49</v>
      </c>
      <c r="C9" s="4" t="s">
        <v>50</v>
      </c>
      <c r="D9" s="4" t="s">
        <v>51</v>
      </c>
      <c r="E9" s="5">
        <v>2</v>
      </c>
      <c r="F9" s="5" t="s">
        <v>9</v>
      </c>
      <c r="G9" s="4" t="s">
        <v>52</v>
      </c>
    </row>
    <row r="10" spans="1:7" ht="37.5" customHeight="1" x14ac:dyDescent="0.3">
      <c r="A10" s="9" t="s">
        <v>53</v>
      </c>
      <c r="B10" s="4" t="s">
        <v>49</v>
      </c>
      <c r="C10" s="4" t="s">
        <v>54</v>
      </c>
      <c r="D10" s="4" t="s">
        <v>55</v>
      </c>
      <c r="E10" s="2">
        <v>1</v>
      </c>
      <c r="F10" s="2" t="s">
        <v>6</v>
      </c>
      <c r="G10" s="4" t="s">
        <v>56</v>
      </c>
    </row>
    <row r="11" spans="1:7" ht="37.5" customHeight="1" x14ac:dyDescent="0.3">
      <c r="A11" s="9" t="s">
        <v>57</v>
      </c>
      <c r="B11" s="4" t="s">
        <v>49</v>
      </c>
      <c r="C11" s="4" t="s">
        <v>58</v>
      </c>
      <c r="D11" s="4" t="s">
        <v>59</v>
      </c>
      <c r="E11" s="2">
        <v>1</v>
      </c>
      <c r="F11" s="2" t="s">
        <v>6</v>
      </c>
      <c r="G11" s="4" t="s">
        <v>60</v>
      </c>
    </row>
    <row r="12" spans="1:7" ht="51.75" customHeight="1" x14ac:dyDescent="0.3">
      <c r="A12" s="9" t="s">
        <v>61</v>
      </c>
      <c r="B12" s="4" t="s">
        <v>49</v>
      </c>
      <c r="C12" s="4" t="s">
        <v>62</v>
      </c>
      <c r="D12" s="4" t="s">
        <v>63</v>
      </c>
      <c r="E12" s="2">
        <v>1</v>
      </c>
      <c r="F12" s="2" t="s">
        <v>6</v>
      </c>
      <c r="G12" s="4" t="s">
        <v>64</v>
      </c>
    </row>
    <row r="13" spans="1:7" ht="37.5" customHeight="1" x14ac:dyDescent="0.3">
      <c r="A13" s="9" t="s">
        <v>65</v>
      </c>
      <c r="B13" s="4" t="s">
        <v>66</v>
      </c>
      <c r="C13" s="4" t="s">
        <v>67</v>
      </c>
      <c r="D13" s="4" t="s">
        <v>68</v>
      </c>
      <c r="E13" s="2">
        <v>1</v>
      </c>
      <c r="F13" s="2" t="s">
        <v>6</v>
      </c>
      <c r="G13" s="4" t="s">
        <v>69</v>
      </c>
    </row>
    <row r="14" spans="1:7" ht="51.75" customHeight="1" x14ac:dyDescent="0.3">
      <c r="A14" s="9" t="s">
        <v>70</v>
      </c>
      <c r="B14" s="4" t="s">
        <v>66</v>
      </c>
      <c r="C14" s="4" t="s">
        <v>71</v>
      </c>
      <c r="D14" s="4" t="s">
        <v>72</v>
      </c>
      <c r="E14" s="5">
        <v>2</v>
      </c>
      <c r="F14" s="5" t="s">
        <v>9</v>
      </c>
      <c r="G14" s="4" t="s">
        <v>73</v>
      </c>
    </row>
    <row r="15" spans="1:7" ht="51.75" customHeight="1" x14ac:dyDescent="0.3">
      <c r="A15" s="9" t="s">
        <v>74</v>
      </c>
      <c r="B15" s="4" t="s">
        <v>66</v>
      </c>
      <c r="C15" s="4" t="s">
        <v>75</v>
      </c>
      <c r="D15" s="4" t="s">
        <v>76</v>
      </c>
      <c r="E15" s="5">
        <v>2</v>
      </c>
      <c r="F15" s="5" t="s">
        <v>9</v>
      </c>
      <c r="G15" s="4" t="s">
        <v>77</v>
      </c>
    </row>
    <row r="16" spans="1:7" ht="37.5" customHeight="1" x14ac:dyDescent="0.3">
      <c r="A16" s="9" t="s">
        <v>78</v>
      </c>
      <c r="B16" s="4" t="s">
        <v>66</v>
      </c>
      <c r="C16" s="4" t="s">
        <v>79</v>
      </c>
      <c r="D16" s="4" t="s">
        <v>80</v>
      </c>
      <c r="E16" s="2">
        <v>1</v>
      </c>
      <c r="F16" s="2" t="s">
        <v>6</v>
      </c>
      <c r="G16" s="4" t="s">
        <v>81</v>
      </c>
    </row>
    <row r="17" spans="1:7" ht="37.5" customHeight="1" x14ac:dyDescent="0.3">
      <c r="A17" s="9" t="s">
        <v>82</v>
      </c>
      <c r="B17" s="4" t="s">
        <v>66</v>
      </c>
      <c r="C17" s="4" t="s">
        <v>83</v>
      </c>
      <c r="D17" s="4" t="s">
        <v>84</v>
      </c>
      <c r="E17" s="2">
        <v>1</v>
      </c>
      <c r="F17" s="2" t="s">
        <v>6</v>
      </c>
      <c r="G17" s="4" t="s">
        <v>85</v>
      </c>
    </row>
    <row r="18" spans="1:7" ht="51.75" customHeight="1" x14ac:dyDescent="0.3">
      <c r="A18" s="9" t="s">
        <v>86</v>
      </c>
      <c r="B18" s="4" t="s">
        <v>87</v>
      </c>
      <c r="C18" s="4" t="s">
        <v>88</v>
      </c>
      <c r="D18" s="4" t="s">
        <v>89</v>
      </c>
      <c r="E18" s="7">
        <v>4</v>
      </c>
      <c r="F18" s="7" t="s">
        <v>15</v>
      </c>
      <c r="G18" s="4" t="s">
        <v>90</v>
      </c>
    </row>
    <row r="19" spans="1:7" ht="51.75" customHeight="1" x14ac:dyDescent="0.3">
      <c r="A19" s="9" t="s">
        <v>91</v>
      </c>
      <c r="B19" s="4" t="s">
        <v>87</v>
      </c>
      <c r="C19" s="4" t="s">
        <v>92</v>
      </c>
      <c r="D19" s="4" t="s">
        <v>93</v>
      </c>
      <c r="E19" s="5">
        <v>2</v>
      </c>
      <c r="F19" s="5" t="s">
        <v>9</v>
      </c>
      <c r="G19" s="4" t="s">
        <v>94</v>
      </c>
    </row>
    <row r="20" spans="1:7" ht="37.5" customHeight="1" x14ac:dyDescent="0.3">
      <c r="A20" s="9" t="s">
        <v>95</v>
      </c>
      <c r="B20" s="4" t="s">
        <v>87</v>
      </c>
      <c r="C20" s="4" t="s">
        <v>96</v>
      </c>
      <c r="D20" s="4" t="s">
        <v>97</v>
      </c>
      <c r="E20" s="2">
        <v>1</v>
      </c>
      <c r="F20" s="2" t="s">
        <v>6</v>
      </c>
      <c r="G20" s="4" t="s">
        <v>98</v>
      </c>
    </row>
    <row r="21" spans="1:7" ht="51.75" customHeight="1" x14ac:dyDescent="0.3">
      <c r="A21" s="9" t="s">
        <v>99</v>
      </c>
      <c r="B21" s="4" t="s">
        <v>87</v>
      </c>
      <c r="C21" s="4" t="s">
        <v>100</v>
      </c>
      <c r="D21" s="4" t="s">
        <v>101</v>
      </c>
      <c r="E21" s="2">
        <v>1</v>
      </c>
      <c r="F21" s="2" t="s">
        <v>6</v>
      </c>
      <c r="G21" s="4" t="s">
        <v>102</v>
      </c>
    </row>
    <row r="22" spans="1:7" ht="37.5" customHeight="1" x14ac:dyDescent="0.3">
      <c r="A22" s="9" t="s">
        <v>103</v>
      </c>
      <c r="B22" s="4" t="s">
        <v>87</v>
      </c>
      <c r="C22" s="4" t="s">
        <v>104</v>
      </c>
      <c r="D22" s="4" t="s">
        <v>80</v>
      </c>
      <c r="E22" s="2">
        <v>1</v>
      </c>
      <c r="F22" s="2" t="s">
        <v>6</v>
      </c>
      <c r="G22" s="4" t="s">
        <v>105</v>
      </c>
    </row>
    <row r="23" spans="1:7" ht="51.75" customHeight="1" x14ac:dyDescent="0.3">
      <c r="A23" s="9" t="s">
        <v>106</v>
      </c>
      <c r="B23" s="4" t="s">
        <v>107</v>
      </c>
      <c r="C23" s="4" t="s">
        <v>108</v>
      </c>
      <c r="D23" s="4" t="s">
        <v>109</v>
      </c>
      <c r="E23" s="5">
        <v>2</v>
      </c>
      <c r="F23" s="5" t="s">
        <v>9</v>
      </c>
      <c r="G23" s="4" t="s">
        <v>110</v>
      </c>
    </row>
    <row r="24" spans="1:7" ht="51.75" customHeight="1" x14ac:dyDescent="0.3">
      <c r="A24" s="9" t="s">
        <v>111</v>
      </c>
      <c r="B24" s="4" t="s">
        <v>107</v>
      </c>
      <c r="C24" s="4" t="s">
        <v>112</v>
      </c>
      <c r="D24" s="4" t="s">
        <v>113</v>
      </c>
      <c r="E24" s="2">
        <v>1</v>
      </c>
      <c r="F24" s="2" t="s">
        <v>6</v>
      </c>
      <c r="G24" s="4" t="s">
        <v>114</v>
      </c>
    </row>
    <row r="25" spans="1:7" ht="51.75" customHeight="1" x14ac:dyDescent="0.3">
      <c r="A25" s="9" t="s">
        <v>115</v>
      </c>
      <c r="B25" s="4" t="s">
        <v>107</v>
      </c>
      <c r="C25" s="4" t="s">
        <v>116</v>
      </c>
      <c r="D25" s="4" t="s">
        <v>117</v>
      </c>
      <c r="E25" s="2">
        <v>1</v>
      </c>
      <c r="F25" s="2" t="s">
        <v>6</v>
      </c>
      <c r="G25" s="4" t="s">
        <v>118</v>
      </c>
    </row>
    <row r="26" spans="1:7" ht="51.75" customHeight="1" x14ac:dyDescent="0.3">
      <c r="A26" s="9" t="s">
        <v>119</v>
      </c>
      <c r="B26" s="4" t="s">
        <v>107</v>
      </c>
      <c r="C26" s="4" t="s">
        <v>120</v>
      </c>
      <c r="D26" s="4" t="s">
        <v>121</v>
      </c>
      <c r="E26" s="2">
        <v>1</v>
      </c>
      <c r="F26" s="2" t="s">
        <v>6</v>
      </c>
      <c r="G26" s="4" t="s">
        <v>122</v>
      </c>
    </row>
    <row r="27" spans="1:7" ht="51.75" customHeight="1" x14ac:dyDescent="0.3">
      <c r="A27" s="9" t="s">
        <v>123</v>
      </c>
      <c r="B27" s="4" t="s">
        <v>124</v>
      </c>
      <c r="C27" s="4" t="s">
        <v>125</v>
      </c>
      <c r="D27" s="4" t="s">
        <v>126</v>
      </c>
      <c r="E27" s="5">
        <v>2</v>
      </c>
      <c r="F27" s="5" t="s">
        <v>9</v>
      </c>
      <c r="G27" s="4" t="s">
        <v>127</v>
      </c>
    </row>
    <row r="28" spans="1:7" ht="51.75" customHeight="1" x14ac:dyDescent="0.3">
      <c r="A28" s="9" t="s">
        <v>128</v>
      </c>
      <c r="B28" s="4" t="s">
        <v>124</v>
      </c>
      <c r="C28" s="4" t="s">
        <v>129</v>
      </c>
      <c r="D28" s="4" t="s">
        <v>130</v>
      </c>
      <c r="E28" s="5">
        <v>2</v>
      </c>
      <c r="F28" s="5" t="s">
        <v>9</v>
      </c>
      <c r="G28" s="4" t="s">
        <v>131</v>
      </c>
    </row>
    <row r="29" spans="1:7" ht="51.75" customHeight="1" x14ac:dyDescent="0.3">
      <c r="A29" s="9" t="s">
        <v>132</v>
      </c>
      <c r="B29" s="4" t="s">
        <v>124</v>
      </c>
      <c r="C29" s="4" t="s">
        <v>133</v>
      </c>
      <c r="D29" s="4" t="s">
        <v>134</v>
      </c>
      <c r="E29" s="2">
        <v>1</v>
      </c>
      <c r="F29" s="2" t="s">
        <v>6</v>
      </c>
      <c r="G29" s="4" t="s">
        <v>135</v>
      </c>
    </row>
    <row r="30" spans="1:7" ht="37.5" customHeight="1" x14ac:dyDescent="0.3">
      <c r="A30" s="9" t="s">
        <v>136</v>
      </c>
      <c r="B30" s="4" t="s">
        <v>124</v>
      </c>
      <c r="C30" s="4" t="s">
        <v>137</v>
      </c>
      <c r="D30" s="4" t="s">
        <v>138</v>
      </c>
      <c r="E30" s="5">
        <v>2</v>
      </c>
      <c r="F30" s="5" t="s">
        <v>9</v>
      </c>
      <c r="G30" s="4" t="s">
        <v>139</v>
      </c>
    </row>
    <row r="31" spans="1:7" ht="51.75" customHeight="1" x14ac:dyDescent="0.3">
      <c r="A31" s="9" t="s">
        <v>140</v>
      </c>
      <c r="B31" s="4" t="s">
        <v>141</v>
      </c>
      <c r="C31" s="4" t="s">
        <v>142</v>
      </c>
      <c r="D31" s="4" t="s">
        <v>143</v>
      </c>
      <c r="E31" s="2">
        <v>1</v>
      </c>
      <c r="F31" s="2" t="s">
        <v>6</v>
      </c>
      <c r="G31" s="4" t="s">
        <v>144</v>
      </c>
    </row>
    <row r="32" spans="1:7" ht="37.5" customHeight="1" x14ac:dyDescent="0.3">
      <c r="A32" s="9" t="s">
        <v>145</v>
      </c>
      <c r="B32" s="4" t="s">
        <v>141</v>
      </c>
      <c r="C32" s="4" t="s">
        <v>146</v>
      </c>
      <c r="D32" s="4" t="s">
        <v>147</v>
      </c>
      <c r="E32" s="2">
        <v>1</v>
      </c>
      <c r="F32" s="2" t="s">
        <v>6</v>
      </c>
      <c r="G32" s="4" t="s">
        <v>148</v>
      </c>
    </row>
    <row r="33" spans="1:7" ht="37.5" customHeight="1" x14ac:dyDescent="0.3">
      <c r="A33" s="9" t="s">
        <v>149</v>
      </c>
      <c r="B33" s="4" t="s">
        <v>141</v>
      </c>
      <c r="C33" s="4" t="s">
        <v>150</v>
      </c>
      <c r="D33" s="4" t="s">
        <v>151</v>
      </c>
      <c r="E33" s="2">
        <v>1</v>
      </c>
      <c r="F33" s="2" t="s">
        <v>6</v>
      </c>
      <c r="G33" s="4" t="s">
        <v>152</v>
      </c>
    </row>
    <row r="34" spans="1:7" ht="51.75" customHeight="1" x14ac:dyDescent="0.3">
      <c r="A34" s="9" t="s">
        <v>153</v>
      </c>
      <c r="B34" s="4" t="s">
        <v>154</v>
      </c>
      <c r="C34" s="4" t="s">
        <v>155</v>
      </c>
      <c r="D34" s="4" t="s">
        <v>156</v>
      </c>
      <c r="E34" s="6">
        <v>3</v>
      </c>
      <c r="F34" s="6" t="s">
        <v>12</v>
      </c>
      <c r="G34" s="4" t="s">
        <v>157</v>
      </c>
    </row>
    <row r="35" spans="1:7" ht="37.5" customHeight="1" x14ac:dyDescent="0.3">
      <c r="A35" s="9" t="s">
        <v>158</v>
      </c>
      <c r="B35" s="4" t="s">
        <v>154</v>
      </c>
      <c r="C35" s="4" t="s">
        <v>159</v>
      </c>
      <c r="D35" s="4" t="s">
        <v>160</v>
      </c>
      <c r="E35" s="5">
        <v>2</v>
      </c>
      <c r="F35" s="5" t="s">
        <v>9</v>
      </c>
      <c r="G35" s="4" t="s">
        <v>161</v>
      </c>
    </row>
    <row r="36" spans="1:7" ht="37.5" customHeight="1" x14ac:dyDescent="0.3">
      <c r="A36" s="9" t="s">
        <v>162</v>
      </c>
      <c r="B36" s="4" t="s">
        <v>154</v>
      </c>
      <c r="C36" s="4" t="s">
        <v>163</v>
      </c>
      <c r="D36" s="4" t="s">
        <v>164</v>
      </c>
      <c r="E36" s="2">
        <v>1</v>
      </c>
      <c r="F36" s="2" t="s">
        <v>6</v>
      </c>
      <c r="G36" s="4" t="s">
        <v>165</v>
      </c>
    </row>
    <row r="37" spans="1:7" ht="37.5" customHeight="1" x14ac:dyDescent="0.3">
      <c r="A37" s="9" t="s">
        <v>166</v>
      </c>
      <c r="B37" s="4" t="s">
        <v>154</v>
      </c>
      <c r="C37" s="4" t="s">
        <v>167</v>
      </c>
      <c r="D37" s="4" t="s">
        <v>168</v>
      </c>
      <c r="E37" s="5">
        <v>2</v>
      </c>
      <c r="F37" s="5" t="s">
        <v>9</v>
      </c>
      <c r="G37" s="4" t="s">
        <v>169</v>
      </c>
    </row>
    <row r="38" spans="1:7" ht="37.5" customHeight="1" x14ac:dyDescent="0.3">
      <c r="A38" s="9" t="s">
        <v>170</v>
      </c>
      <c r="B38" s="4" t="s">
        <v>171</v>
      </c>
      <c r="C38" s="4" t="s">
        <v>172</v>
      </c>
      <c r="D38" s="4" t="s">
        <v>173</v>
      </c>
      <c r="E38" s="2">
        <v>1</v>
      </c>
      <c r="F38" s="2" t="s">
        <v>6</v>
      </c>
      <c r="G38" s="4" t="s">
        <v>174</v>
      </c>
    </row>
    <row r="39" spans="1:7" ht="51.75" customHeight="1" x14ac:dyDescent="0.3">
      <c r="A39" s="9" t="s">
        <v>175</v>
      </c>
      <c r="B39" s="4" t="s">
        <v>171</v>
      </c>
      <c r="C39" s="4" t="s">
        <v>176</v>
      </c>
      <c r="D39" s="4" t="s">
        <v>177</v>
      </c>
      <c r="E39" s="7">
        <v>4</v>
      </c>
      <c r="F39" s="7" t="s">
        <v>15</v>
      </c>
      <c r="G39" s="4" t="s">
        <v>178</v>
      </c>
    </row>
    <row r="40" spans="1:7" ht="51.75" customHeight="1" x14ac:dyDescent="0.3">
      <c r="A40" s="9" t="s">
        <v>179</v>
      </c>
      <c r="B40" s="4" t="s">
        <v>171</v>
      </c>
      <c r="C40" s="4" t="s">
        <v>180</v>
      </c>
      <c r="D40" s="4" t="s">
        <v>181</v>
      </c>
      <c r="E40" s="5">
        <v>2</v>
      </c>
      <c r="F40" s="5" t="s">
        <v>9</v>
      </c>
      <c r="G40" s="4" t="s">
        <v>182</v>
      </c>
    </row>
    <row r="41" spans="1:7" ht="51.75" customHeight="1" x14ac:dyDescent="0.3">
      <c r="A41" s="9" t="s">
        <v>183</v>
      </c>
      <c r="B41" s="4" t="s">
        <v>184</v>
      </c>
      <c r="C41" s="4" t="s">
        <v>185</v>
      </c>
      <c r="D41" s="4" t="s">
        <v>186</v>
      </c>
      <c r="E41" s="5">
        <v>2</v>
      </c>
      <c r="F41" s="5" t="s">
        <v>9</v>
      </c>
      <c r="G41" s="4" t="s">
        <v>187</v>
      </c>
    </row>
    <row r="42" spans="1:7" ht="51.75" customHeight="1" x14ac:dyDescent="0.3">
      <c r="A42" s="9" t="s">
        <v>188</v>
      </c>
      <c r="B42" s="4" t="s">
        <v>184</v>
      </c>
      <c r="C42" s="4" t="s">
        <v>189</v>
      </c>
      <c r="D42" s="4" t="s">
        <v>190</v>
      </c>
      <c r="E42" s="5">
        <v>2</v>
      </c>
      <c r="F42" s="5" t="s">
        <v>9</v>
      </c>
      <c r="G42" s="4" t="s">
        <v>191</v>
      </c>
    </row>
    <row r="43" spans="1:7" ht="37.5" customHeight="1" x14ac:dyDescent="0.3">
      <c r="A43" s="9" t="s">
        <v>192</v>
      </c>
      <c r="B43" s="4" t="s">
        <v>184</v>
      </c>
      <c r="C43" s="4" t="s">
        <v>193</v>
      </c>
      <c r="D43" s="4" t="s">
        <v>194</v>
      </c>
      <c r="E43" s="2">
        <v>1</v>
      </c>
      <c r="F43" s="2" t="s">
        <v>6</v>
      </c>
      <c r="G43" s="4" t="s">
        <v>195</v>
      </c>
    </row>
    <row r="44" spans="1:7" ht="51.75" customHeight="1" x14ac:dyDescent="0.3">
      <c r="A44" s="9" t="s">
        <v>196</v>
      </c>
      <c r="B44" s="4" t="s">
        <v>184</v>
      </c>
      <c r="C44" s="4" t="s">
        <v>197</v>
      </c>
      <c r="D44" s="4" t="s">
        <v>198</v>
      </c>
      <c r="E44" s="5">
        <v>2</v>
      </c>
      <c r="F44" s="5" t="s">
        <v>9</v>
      </c>
      <c r="G44" s="4" t="s">
        <v>199</v>
      </c>
    </row>
    <row r="45" spans="1:7" ht="37.5" customHeight="1" x14ac:dyDescent="0.3">
      <c r="A45" s="9" t="s">
        <v>200</v>
      </c>
      <c r="B45" s="4" t="s">
        <v>184</v>
      </c>
      <c r="C45" s="4" t="s">
        <v>201</v>
      </c>
      <c r="D45" s="4" t="s">
        <v>202</v>
      </c>
      <c r="E45" s="2">
        <v>1</v>
      </c>
      <c r="F45" s="2" t="s">
        <v>6</v>
      </c>
      <c r="G45" s="4" t="s">
        <v>203</v>
      </c>
    </row>
    <row r="46" spans="1:7" ht="51.75" customHeight="1" x14ac:dyDescent="0.3">
      <c r="A46" s="9" t="s">
        <v>204</v>
      </c>
      <c r="B46" s="4" t="s">
        <v>205</v>
      </c>
      <c r="C46" s="4" t="s">
        <v>206</v>
      </c>
      <c r="D46" s="4" t="s">
        <v>207</v>
      </c>
      <c r="E46" s="5">
        <v>2</v>
      </c>
      <c r="F46" s="5" t="s">
        <v>9</v>
      </c>
      <c r="G46" s="4" t="s">
        <v>208</v>
      </c>
    </row>
    <row r="47" spans="1:7" ht="51.75" customHeight="1" x14ac:dyDescent="0.3">
      <c r="A47" s="9" t="s">
        <v>209</v>
      </c>
      <c r="B47" s="4" t="s">
        <v>205</v>
      </c>
      <c r="C47" s="4" t="s">
        <v>210</v>
      </c>
      <c r="D47" s="4" t="s">
        <v>211</v>
      </c>
      <c r="E47" s="5">
        <v>2</v>
      </c>
      <c r="F47" s="5" t="s">
        <v>9</v>
      </c>
      <c r="G47" s="4" t="s">
        <v>212</v>
      </c>
    </row>
    <row r="48" spans="1:7" ht="51.75" customHeight="1" x14ac:dyDescent="0.3">
      <c r="A48" s="9" t="s">
        <v>213</v>
      </c>
      <c r="B48" s="4" t="s">
        <v>205</v>
      </c>
      <c r="C48" s="4" t="s">
        <v>214</v>
      </c>
      <c r="D48" s="4" t="s">
        <v>215</v>
      </c>
      <c r="E48" s="5">
        <v>2</v>
      </c>
      <c r="F48" s="5" t="s">
        <v>9</v>
      </c>
      <c r="G48" s="4" t="s">
        <v>216</v>
      </c>
    </row>
    <row r="49" spans="1:7" ht="37.5" customHeight="1" x14ac:dyDescent="0.3">
      <c r="A49" s="9" t="s">
        <v>217</v>
      </c>
      <c r="B49" s="4" t="s">
        <v>205</v>
      </c>
      <c r="C49" s="4" t="s">
        <v>218</v>
      </c>
      <c r="D49" s="4" t="s">
        <v>219</v>
      </c>
      <c r="E49" s="2">
        <v>1</v>
      </c>
      <c r="F49" s="2" t="s">
        <v>6</v>
      </c>
      <c r="G49" s="4" t="s">
        <v>220</v>
      </c>
    </row>
    <row r="50" spans="1:7" ht="51.75" customHeight="1" x14ac:dyDescent="0.3">
      <c r="A50" s="9" t="s">
        <v>221</v>
      </c>
      <c r="B50" s="4" t="s">
        <v>222</v>
      </c>
      <c r="C50" s="4" t="s">
        <v>223</v>
      </c>
      <c r="D50" s="4" t="s">
        <v>224</v>
      </c>
      <c r="E50" s="2">
        <v>1</v>
      </c>
      <c r="F50" s="2" t="s">
        <v>6</v>
      </c>
      <c r="G50" s="4" t="s">
        <v>225</v>
      </c>
    </row>
    <row r="51" spans="1:7" ht="51.75" customHeight="1" x14ac:dyDescent="0.3">
      <c r="A51" s="9" t="s">
        <v>226</v>
      </c>
      <c r="B51" s="4" t="s">
        <v>222</v>
      </c>
      <c r="C51" s="4" t="s">
        <v>227</v>
      </c>
      <c r="D51" s="4" t="s">
        <v>228</v>
      </c>
      <c r="E51" s="2">
        <v>1</v>
      </c>
      <c r="F51" s="2" t="s">
        <v>6</v>
      </c>
      <c r="G51" s="4" t="s">
        <v>229</v>
      </c>
    </row>
    <row r="52" spans="1:7" ht="51.75" customHeight="1" x14ac:dyDescent="0.3">
      <c r="A52" s="9" t="s">
        <v>230</v>
      </c>
      <c r="B52" s="4" t="s">
        <v>222</v>
      </c>
      <c r="C52" s="4" t="s">
        <v>231</v>
      </c>
      <c r="D52" s="4" t="s">
        <v>232</v>
      </c>
      <c r="E52" s="2">
        <v>1</v>
      </c>
      <c r="F52" s="2" t="s">
        <v>6</v>
      </c>
      <c r="G52" s="4" t="s">
        <v>233</v>
      </c>
    </row>
    <row r="53" spans="1:7" ht="51.75" customHeight="1" x14ac:dyDescent="0.3">
      <c r="A53" s="9" t="s">
        <v>234</v>
      </c>
      <c r="B53" s="4" t="s">
        <v>222</v>
      </c>
      <c r="C53" s="4" t="s">
        <v>235</v>
      </c>
      <c r="D53" s="4" t="s">
        <v>236</v>
      </c>
      <c r="E53" s="2">
        <v>1</v>
      </c>
      <c r="F53" s="2" t="s">
        <v>6</v>
      </c>
      <c r="G53" s="4" t="s">
        <v>237</v>
      </c>
    </row>
    <row r="54" spans="1:7" ht="51.75" customHeight="1" x14ac:dyDescent="0.3">
      <c r="A54" s="9" t="s">
        <v>238</v>
      </c>
      <c r="B54" s="4" t="s">
        <v>239</v>
      </c>
      <c r="C54" s="4" t="s">
        <v>240</v>
      </c>
      <c r="D54" s="4" t="s">
        <v>241</v>
      </c>
      <c r="E54" s="2">
        <v>1</v>
      </c>
      <c r="F54" s="2" t="s">
        <v>6</v>
      </c>
      <c r="G54" s="4" t="s">
        <v>242</v>
      </c>
    </row>
    <row r="55" spans="1:7" ht="51.75" customHeight="1" x14ac:dyDescent="0.3">
      <c r="A55" s="9" t="s">
        <v>243</v>
      </c>
      <c r="B55" s="4" t="s">
        <v>239</v>
      </c>
      <c r="C55" s="4" t="s">
        <v>244</v>
      </c>
      <c r="D55" s="4" t="s">
        <v>245</v>
      </c>
      <c r="E55" s="2">
        <v>1</v>
      </c>
      <c r="F55" s="2" t="s">
        <v>6</v>
      </c>
      <c r="G55" s="4" t="s">
        <v>246</v>
      </c>
    </row>
  </sheetData>
  <autoFilter ref="A4:G55" xr:uid="{00000000-0009-0000-0000-000001000000}"/>
  <mergeCells count="2">
    <mergeCell ref="A1:G1"/>
    <mergeCell ref="A2:G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
  <sheetViews>
    <sheetView tabSelected="1" zoomScaleNormal="100" workbookViewId="0">
      <selection activeCell="A10" sqref="A10"/>
    </sheetView>
  </sheetViews>
  <sheetFormatPr defaultColWidth="8.6640625" defaultRowHeight="14.4" x14ac:dyDescent="0.3"/>
  <cols>
    <col min="1" max="1" width="38" customWidth="1"/>
    <col min="2" max="6" width="16" customWidth="1"/>
  </cols>
  <sheetData>
    <row r="1" spans="1:6" ht="17.399999999999999" x14ac:dyDescent="0.3">
      <c r="A1" s="24" t="s">
        <v>247</v>
      </c>
      <c r="B1" s="24"/>
      <c r="C1" s="24"/>
      <c r="D1" s="24"/>
      <c r="E1" s="24"/>
      <c r="F1" s="24"/>
    </row>
    <row r="2" spans="1:6" x14ac:dyDescent="0.3">
      <c r="A2" s="25" t="s">
        <v>248</v>
      </c>
      <c r="B2" s="25"/>
      <c r="C2" s="25"/>
      <c r="D2" s="25"/>
      <c r="E2" s="25"/>
      <c r="F2" s="25"/>
    </row>
    <row r="4" spans="1:6" x14ac:dyDescent="0.3">
      <c r="A4" s="26" t="s">
        <v>249</v>
      </c>
      <c r="B4" s="26"/>
      <c r="C4" s="26"/>
      <c r="D4" s="26"/>
      <c r="E4" s="26"/>
      <c r="F4" s="26"/>
    </row>
    <row r="5" spans="1:6" x14ac:dyDescent="0.3">
      <c r="A5" s="10" t="s">
        <v>250</v>
      </c>
      <c r="B5" s="11">
        <f>COUNTA('2. Current State Assessment'!$A$5:$A$55)</f>
        <v>51</v>
      </c>
    </row>
    <row r="6" spans="1:6" x14ac:dyDescent="0.3">
      <c r="A6" s="10" t="s">
        <v>251</v>
      </c>
      <c r="B6" s="12">
        <f>AVERAGE('2. Current State Assessment'!$E$5:$E$55)</f>
        <v>1.5294117647058822</v>
      </c>
    </row>
    <row r="8" spans="1:6" x14ac:dyDescent="0.3">
      <c r="A8" s="26" t="s">
        <v>252</v>
      </c>
      <c r="B8" s="26"/>
      <c r="C8" s="26"/>
      <c r="D8" s="26"/>
      <c r="E8" s="26"/>
      <c r="F8" s="26"/>
    </row>
    <row r="9" spans="1:6" x14ac:dyDescent="0.3">
      <c r="A9" s="13" t="s">
        <v>2</v>
      </c>
      <c r="B9" s="13" t="s">
        <v>3</v>
      </c>
      <c r="C9" s="13" t="s">
        <v>253</v>
      </c>
      <c r="D9" s="13" t="s">
        <v>254</v>
      </c>
    </row>
    <row r="10" spans="1:6" x14ac:dyDescent="0.3">
      <c r="A10" s="14">
        <v>1</v>
      </c>
      <c r="B10" s="15" t="s">
        <v>6</v>
      </c>
      <c r="C10" s="15">
        <f>COUNTIF('2. Current State Assessment'!$E$5:$E$55,1)</f>
        <v>29</v>
      </c>
      <c r="D10" s="16">
        <f>C10/COUNTA('2. Current State Assessment'!$A$5:$A$55)</f>
        <v>0.56862745098039214</v>
      </c>
    </row>
    <row r="11" spans="1:6" x14ac:dyDescent="0.3">
      <c r="A11" s="17">
        <v>2</v>
      </c>
      <c r="B11" s="15" t="s">
        <v>9</v>
      </c>
      <c r="C11" s="15">
        <f>COUNTIF('2. Current State Assessment'!$E$5:$E$55,2)</f>
        <v>19</v>
      </c>
      <c r="D11" s="16">
        <f>C11/COUNTA('2. Current State Assessment'!$A$5:$A$55)</f>
        <v>0.37254901960784315</v>
      </c>
    </row>
    <row r="12" spans="1:6" x14ac:dyDescent="0.3">
      <c r="A12" s="18">
        <v>3</v>
      </c>
      <c r="B12" s="15" t="s">
        <v>12</v>
      </c>
      <c r="C12" s="15">
        <f>COUNTIF('2. Current State Assessment'!$E$5:$E$55,3)</f>
        <v>1</v>
      </c>
      <c r="D12" s="16">
        <f>C12/COUNTA('2. Current State Assessment'!$A$5:$A$55)</f>
        <v>1.9607843137254902E-2</v>
      </c>
    </row>
    <row r="13" spans="1:6" x14ac:dyDescent="0.3">
      <c r="A13" s="19">
        <v>4</v>
      </c>
      <c r="B13" s="15" t="s">
        <v>15</v>
      </c>
      <c r="C13" s="15">
        <f>COUNTIF('2. Current State Assessment'!$E$5:$E$55,4)</f>
        <v>2</v>
      </c>
      <c r="D13" s="16">
        <f>C13/COUNTA('2. Current State Assessment'!$A$5:$A$55)</f>
        <v>3.9215686274509803E-2</v>
      </c>
    </row>
    <row r="14" spans="1:6" x14ac:dyDescent="0.3">
      <c r="A14" s="20">
        <v>5</v>
      </c>
      <c r="B14" s="15" t="s">
        <v>18</v>
      </c>
      <c r="C14" s="15">
        <f>COUNTIF('2. Current State Assessment'!$E$5:$E$55,5)</f>
        <v>0</v>
      </c>
      <c r="D14" s="16">
        <f>C14/COUNTA('2. Current State Assessment'!$A$5:$A$55)</f>
        <v>0</v>
      </c>
    </row>
    <row r="16" spans="1:6" x14ac:dyDescent="0.3">
      <c r="A16" s="26" t="s">
        <v>255</v>
      </c>
      <c r="B16" s="26"/>
      <c r="C16" s="26"/>
      <c r="D16" s="26"/>
      <c r="E16" s="26"/>
      <c r="F16" s="26"/>
    </row>
    <row r="17" spans="1:6" x14ac:dyDescent="0.3">
      <c r="A17" s="21" t="s">
        <v>26</v>
      </c>
      <c r="B17" s="21" t="s">
        <v>256</v>
      </c>
      <c r="C17" s="21" t="s">
        <v>257</v>
      </c>
    </row>
    <row r="18" spans="1:6" x14ac:dyDescent="0.3">
      <c r="A18" s="22" t="s">
        <v>32</v>
      </c>
      <c r="B18" s="15">
        <f>COUNTIF('2. Current State Assessment'!$B$5:$B$55,A18)</f>
        <v>4</v>
      </c>
      <c r="C18" s="23">
        <f>AVERAGEIF('2. Current State Assessment'!$B$5:$B$55,A18,'2. Current State Assessment'!$E$5:$E$55)</f>
        <v>1.5</v>
      </c>
    </row>
    <row r="19" spans="1:6" x14ac:dyDescent="0.3">
      <c r="A19" s="22" t="s">
        <v>49</v>
      </c>
      <c r="B19" s="15">
        <f>COUNTIF('2. Current State Assessment'!$B$5:$B$55,A19)</f>
        <v>4</v>
      </c>
      <c r="C19" s="23">
        <f>AVERAGEIF('2. Current State Assessment'!$B$5:$B$55,A19,'2. Current State Assessment'!$E$5:$E$55)</f>
        <v>1.25</v>
      </c>
    </row>
    <row r="20" spans="1:6" x14ac:dyDescent="0.3">
      <c r="A20" s="22" t="s">
        <v>66</v>
      </c>
      <c r="B20" s="15">
        <f>COUNTIF('2. Current State Assessment'!$B$5:$B$55,A20)</f>
        <v>5</v>
      </c>
      <c r="C20" s="23">
        <f>AVERAGEIF('2. Current State Assessment'!$B$5:$B$55,A20,'2. Current State Assessment'!$E$5:$E$55)</f>
        <v>1.4</v>
      </c>
    </row>
    <row r="21" spans="1:6" x14ac:dyDescent="0.3">
      <c r="A21" s="22" t="s">
        <v>87</v>
      </c>
      <c r="B21" s="15">
        <f>COUNTIF('2. Current State Assessment'!$B$5:$B$55,A21)</f>
        <v>5</v>
      </c>
      <c r="C21" s="23">
        <f>AVERAGEIF('2. Current State Assessment'!$B$5:$B$55,A21,'2. Current State Assessment'!$E$5:$E$55)</f>
        <v>1.8</v>
      </c>
    </row>
    <row r="22" spans="1:6" x14ac:dyDescent="0.3">
      <c r="A22" s="22" t="s">
        <v>107</v>
      </c>
      <c r="B22" s="15">
        <f>COUNTIF('2. Current State Assessment'!$B$5:$B$55,A22)</f>
        <v>4</v>
      </c>
      <c r="C22" s="23">
        <f>AVERAGEIF('2. Current State Assessment'!$B$5:$B$55,A22,'2. Current State Assessment'!$E$5:$E$55)</f>
        <v>1.25</v>
      </c>
    </row>
    <row r="23" spans="1:6" x14ac:dyDescent="0.3">
      <c r="A23" s="22" t="s">
        <v>124</v>
      </c>
      <c r="B23" s="15">
        <f>COUNTIF('2. Current State Assessment'!$B$5:$B$55,A23)</f>
        <v>4</v>
      </c>
      <c r="C23" s="23">
        <f>AVERAGEIF('2. Current State Assessment'!$B$5:$B$55,A23,'2. Current State Assessment'!$E$5:$E$55)</f>
        <v>1.75</v>
      </c>
    </row>
    <row r="24" spans="1:6" x14ac:dyDescent="0.3">
      <c r="A24" s="22" t="s">
        <v>141</v>
      </c>
      <c r="B24" s="15">
        <f>COUNTIF('2. Current State Assessment'!$B$5:$B$55,A24)</f>
        <v>3</v>
      </c>
      <c r="C24" s="23">
        <f>AVERAGEIF('2. Current State Assessment'!$B$5:$B$55,A24,'2. Current State Assessment'!$E$5:$E$55)</f>
        <v>1</v>
      </c>
    </row>
    <row r="25" spans="1:6" x14ac:dyDescent="0.3">
      <c r="A25" s="22" t="s">
        <v>154</v>
      </c>
      <c r="B25" s="15">
        <f>COUNTIF('2. Current State Assessment'!$B$5:$B$55,A25)</f>
        <v>4</v>
      </c>
      <c r="C25" s="23">
        <f>AVERAGEIF('2. Current State Assessment'!$B$5:$B$55,A25,'2. Current State Assessment'!$E$5:$E$55)</f>
        <v>2</v>
      </c>
    </row>
    <row r="26" spans="1:6" x14ac:dyDescent="0.3">
      <c r="A26" s="22" t="s">
        <v>171</v>
      </c>
      <c r="B26" s="15">
        <f>COUNTIF('2. Current State Assessment'!$B$5:$B$55,A26)</f>
        <v>3</v>
      </c>
      <c r="C26" s="23">
        <f>AVERAGEIF('2. Current State Assessment'!$B$5:$B$55,A26,'2. Current State Assessment'!$E$5:$E$55)</f>
        <v>2.3333333333333335</v>
      </c>
    </row>
    <row r="27" spans="1:6" x14ac:dyDescent="0.3">
      <c r="A27" s="22" t="s">
        <v>184</v>
      </c>
      <c r="B27" s="15">
        <f>COUNTIF('2. Current State Assessment'!$B$5:$B$55,A27)</f>
        <v>5</v>
      </c>
      <c r="C27" s="23">
        <f>AVERAGEIF('2. Current State Assessment'!$B$5:$B$55,A27,'2. Current State Assessment'!$E$5:$E$55)</f>
        <v>1.6</v>
      </c>
    </row>
    <row r="28" spans="1:6" x14ac:dyDescent="0.3">
      <c r="A28" s="22" t="s">
        <v>205</v>
      </c>
      <c r="B28" s="15">
        <f>COUNTIF('2. Current State Assessment'!$B$5:$B$55,A28)</f>
        <v>4</v>
      </c>
      <c r="C28" s="23">
        <f>AVERAGEIF('2. Current State Assessment'!$B$5:$B$55,A28,'2. Current State Assessment'!$E$5:$E$55)</f>
        <v>1.75</v>
      </c>
    </row>
    <row r="29" spans="1:6" x14ac:dyDescent="0.3">
      <c r="A29" s="22" t="s">
        <v>222</v>
      </c>
      <c r="B29" s="15">
        <f>COUNTIF('2. Current State Assessment'!$B$5:$B$55,A29)</f>
        <v>4</v>
      </c>
      <c r="C29" s="23">
        <f>AVERAGEIF('2. Current State Assessment'!$B$5:$B$55,A29,'2. Current State Assessment'!$E$5:$E$55)</f>
        <v>1</v>
      </c>
    </row>
    <row r="30" spans="1:6" x14ac:dyDescent="0.3">
      <c r="A30" s="22" t="s">
        <v>239</v>
      </c>
      <c r="B30" s="15">
        <f>COUNTIF('2. Current State Assessment'!$B$5:$B$55,A30)</f>
        <v>2</v>
      </c>
      <c r="C30" s="23">
        <f>AVERAGEIF('2. Current State Assessment'!$B$5:$B$55,A30,'2. Current State Assessment'!$E$5:$E$55)</f>
        <v>1</v>
      </c>
    </row>
    <row r="32" spans="1:6" x14ac:dyDescent="0.3">
      <c r="A32" s="26" t="s">
        <v>258</v>
      </c>
      <c r="B32" s="26"/>
      <c r="C32" s="26"/>
      <c r="D32" s="26"/>
      <c r="E32" s="26"/>
      <c r="F32" s="26"/>
    </row>
    <row r="33" spans="1:6" ht="31.5" customHeight="1" x14ac:dyDescent="0.3">
      <c r="A33" s="27" t="s">
        <v>259</v>
      </c>
      <c r="B33" s="27"/>
      <c r="C33" s="27"/>
      <c r="D33" s="27"/>
      <c r="E33" s="27"/>
      <c r="F33" s="27"/>
    </row>
    <row r="34" spans="1:6" ht="31.5" customHeight="1" x14ac:dyDescent="0.3">
      <c r="A34" s="27" t="s">
        <v>260</v>
      </c>
      <c r="B34" s="27"/>
      <c r="C34" s="27"/>
      <c r="D34" s="27"/>
      <c r="E34" s="27"/>
      <c r="F34" s="27"/>
    </row>
    <row r="35" spans="1:6" ht="31.5" customHeight="1" x14ac:dyDescent="0.3">
      <c r="A35" s="27" t="s">
        <v>261</v>
      </c>
      <c r="B35" s="27"/>
      <c r="C35" s="27"/>
      <c r="D35" s="27"/>
      <c r="E35" s="27"/>
      <c r="F35" s="27"/>
    </row>
    <row r="36" spans="1:6" ht="31.5" customHeight="1" x14ac:dyDescent="0.3">
      <c r="A36" s="27" t="s">
        <v>262</v>
      </c>
      <c r="B36" s="27"/>
      <c r="C36" s="27"/>
      <c r="D36" s="27"/>
      <c r="E36" s="27"/>
      <c r="F36" s="27"/>
    </row>
    <row r="37" spans="1:6" ht="31.5" customHeight="1" x14ac:dyDescent="0.3">
      <c r="A37" s="27" t="s">
        <v>263</v>
      </c>
      <c r="B37" s="27"/>
      <c r="C37" s="27"/>
      <c r="D37" s="27"/>
      <c r="E37" s="27"/>
      <c r="F37" s="27"/>
    </row>
  </sheetData>
  <mergeCells count="11">
    <mergeCell ref="A1:F1"/>
    <mergeCell ref="A2:F2"/>
    <mergeCell ref="A4:F4"/>
    <mergeCell ref="A8:F8"/>
    <mergeCell ref="A16:F16"/>
    <mergeCell ref="A37:F37"/>
    <mergeCell ref="A32:F32"/>
    <mergeCell ref="A33:F33"/>
    <mergeCell ref="A34:F34"/>
    <mergeCell ref="A35:F35"/>
    <mergeCell ref="A36:F3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Maturity Scale</vt:lpstr>
      <vt:lpstr>2. Current State Assessment</vt:lpstr>
      <vt:lpstr>3. Maturity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bhuvaneswari kundla</cp:lastModifiedBy>
  <cp:revision>0</cp:revision>
  <dcterms:created xsi:type="dcterms:W3CDTF">2026-07-21T11:52:56Z</dcterms:created>
  <dcterms:modified xsi:type="dcterms:W3CDTF">2026-07-21T15:18:52Z</dcterms:modified>
  <dc:language>en-US</dc:language>
</cp:coreProperties>
</file>